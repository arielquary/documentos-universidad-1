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OneDrive1\OneDrive\Mis Archivos\Escritorio\Polaris\1 - Comercial\Presentaciones\Modelo Universidad DIU\Finanzas\"/>
    </mc:Choice>
  </mc:AlternateContent>
  <xr:revisionPtr revIDLastSave="0" documentId="13_ncr:1_{FC96E8B1-6DED-4F72-8345-DC5F006D745A}" xr6:coauthVersionLast="47" xr6:coauthVersionMax="47" xr10:uidLastSave="{00000000-0000-0000-0000-000000000000}"/>
  <bookViews>
    <workbookView xWindow="-28920" yWindow="-1905" windowWidth="29040" windowHeight="15990" activeTab="6" xr2:uid="{69FB598E-EA58-4303-BEC3-400C455CBAD2}"/>
  </bookViews>
  <sheets>
    <sheet name="Modelo" sheetId="9" r:id="rId1"/>
    <sheet name="Modelo Detalle" sheetId="10" r:id="rId2"/>
    <sheet name="Modelo Financiero Operativo" sheetId="3" r:id="rId3"/>
    <sheet name="Modelo Financiero Operativo (2)" sheetId="12" r:id="rId4"/>
    <sheet name="Asesor Practicas" sheetId="13" r:id="rId5"/>
    <sheet name="Analisis Financiero" sheetId="7" r:id="rId6"/>
    <sheet name="Resultado Analisis y Conclusion" sheetId="11" r:id="rId7"/>
    <sheet name="Costos Fijos" sheetId="6" r:id="rId8"/>
    <sheet name="Teoria Practica para el Modelo" sheetId="2" r:id="rId9"/>
    <sheet name="Modelo Financiero" sheetId="14" r:id="rId10"/>
    <sheet name="Modelo Final Resumido" sheetId="15" r:id="rId11"/>
  </sheets>
  <definedNames>
    <definedName name="_xlnm.Print_Area" localSheetId="0">Modelo!$A$2:$AA$31</definedName>
    <definedName name="_xlnm.Print_Area" localSheetId="1">'Modelo Detalle'!$A$2:$CE$31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15" l="1"/>
  <c r="K20" i="15"/>
  <c r="K19" i="15"/>
  <c r="K18" i="15"/>
  <c r="K11" i="15"/>
  <c r="K10" i="15"/>
  <c r="K12" i="15" s="1"/>
  <c r="F21" i="15"/>
  <c r="F20" i="15"/>
  <c r="F19" i="15"/>
  <c r="F18" i="15"/>
  <c r="F11" i="15"/>
  <c r="F10" i="15"/>
  <c r="F12" i="15" s="1"/>
  <c r="C10" i="6" l="1"/>
  <c r="M23" i="13"/>
  <c r="BJ47" i="12"/>
  <c r="U47" i="12"/>
  <c r="T47" i="12"/>
  <c r="S47" i="12"/>
  <c r="G9" i="13" l="1"/>
  <c r="H9" i="13" s="1"/>
  <c r="I9" i="13" s="1"/>
  <c r="G10" i="13"/>
  <c r="H10" i="13" s="1"/>
  <c r="I10" i="13" s="1"/>
  <c r="G11" i="13"/>
  <c r="H11" i="13" s="1"/>
  <c r="I11" i="13" s="1"/>
  <c r="G12" i="13"/>
  <c r="H12" i="13" s="1"/>
  <c r="I12" i="13" s="1"/>
  <c r="G13" i="13"/>
  <c r="H13" i="13" s="1"/>
  <c r="I13" i="13" s="1"/>
  <c r="G14" i="13"/>
  <c r="H14" i="13" s="1"/>
  <c r="I14" i="13" s="1"/>
  <c r="G15" i="13"/>
  <c r="H15" i="13" s="1"/>
  <c r="I15" i="13" s="1"/>
  <c r="G16" i="13"/>
  <c r="H16" i="13" s="1"/>
  <c r="I16" i="13" s="1"/>
  <c r="G17" i="13"/>
  <c r="H17" i="13" s="1"/>
  <c r="I17" i="13" s="1"/>
  <c r="G18" i="13"/>
  <c r="H18" i="13" s="1"/>
  <c r="I18" i="13" s="1"/>
  <c r="G19" i="13"/>
  <c r="H19" i="13" s="1"/>
  <c r="I19" i="13" s="1"/>
  <c r="G20" i="13"/>
  <c r="H20" i="13" s="1"/>
  <c r="I20" i="13" s="1"/>
  <c r="G21" i="13"/>
  <c r="H21" i="13" s="1"/>
  <c r="I21" i="13" s="1"/>
  <c r="G22" i="13"/>
  <c r="H22" i="13" s="1"/>
  <c r="I22" i="13" s="1"/>
  <c r="G8" i="13"/>
  <c r="H8" i="13" s="1"/>
  <c r="I8" i="13" s="1"/>
  <c r="E23" i="13"/>
  <c r="E24" i="13" s="1"/>
  <c r="D23" i="13"/>
  <c r="CI43" i="12"/>
  <c r="S39" i="12"/>
  <c r="CK4" i="12"/>
  <c r="CK5" i="12"/>
  <c r="CK3" i="12"/>
  <c r="CK38" i="12"/>
  <c r="CM11" i="12"/>
  <c r="CM12" i="12"/>
  <c r="S23" i="12"/>
  <c r="Q23" i="12"/>
  <c r="Q19" i="12"/>
  <c r="S19" i="12" s="1"/>
  <c r="Q37" i="12"/>
  <c r="S37" i="12" s="1"/>
  <c r="S35" i="12"/>
  <c r="Q35" i="12"/>
  <c r="Q33" i="12"/>
  <c r="S33" i="12" s="1"/>
  <c r="Q31" i="12"/>
  <c r="S31" i="12" s="1"/>
  <c r="S29" i="12"/>
  <c r="Q29" i="12"/>
  <c r="S27" i="12"/>
  <c r="Q27" i="12"/>
  <c r="S25" i="12"/>
  <c r="Q25" i="12"/>
  <c r="Q21" i="12"/>
  <c r="S21" i="12" s="1"/>
  <c r="S17" i="12"/>
  <c r="Q17" i="12"/>
  <c r="Q15" i="12"/>
  <c r="S15" i="12" s="1"/>
  <c r="Q13" i="12"/>
  <c r="S13" i="12" s="1"/>
  <c r="Q11" i="12"/>
  <c r="S11" i="12" s="1"/>
  <c r="Q8" i="12"/>
  <c r="S8" i="12" s="1"/>
  <c r="S38" i="12"/>
  <c r="S36" i="12"/>
  <c r="S34" i="12"/>
  <c r="S32" i="12"/>
  <c r="S30" i="12"/>
  <c r="S28" i="12"/>
  <c r="S26" i="12"/>
  <c r="S24" i="12"/>
  <c r="S22" i="12"/>
  <c r="S20" i="12"/>
  <c r="S18" i="12"/>
  <c r="S16" i="12"/>
  <c r="S14" i="12"/>
  <c r="S12" i="12"/>
  <c r="S10" i="12"/>
  <c r="Q38" i="12"/>
  <c r="Q36" i="12"/>
  <c r="Q34" i="12"/>
  <c r="Q32" i="12"/>
  <c r="Q30" i="12"/>
  <c r="Q28" i="12"/>
  <c r="Q26" i="12"/>
  <c r="Q24" i="12"/>
  <c r="Q22" i="12"/>
  <c r="Q20" i="12"/>
  <c r="Q18" i="12"/>
  <c r="Q16" i="12"/>
  <c r="Q14" i="12"/>
  <c r="Q12" i="12"/>
  <c r="Q9" i="12"/>
  <c r="Q10" i="12"/>
  <c r="Q7" i="12"/>
  <c r="S7" i="12" s="1"/>
  <c r="Q4" i="12"/>
  <c r="Q5" i="12"/>
  <c r="Q3" i="12"/>
  <c r="S3" i="12" s="1"/>
  <c r="S6" i="12"/>
  <c r="Q6" i="12"/>
  <c r="BL3" i="12"/>
  <c r="BN3" i="12"/>
  <c r="BP3" i="12"/>
  <c r="BR3" i="12"/>
  <c r="BT3" i="12"/>
  <c r="CJ3" i="12" s="1"/>
  <c r="BV3" i="12"/>
  <c r="BX3" i="12"/>
  <c r="BZ3" i="12"/>
  <c r="CB3" i="12"/>
  <c r="CD3" i="12"/>
  <c r="CF3" i="12"/>
  <c r="CH3" i="12"/>
  <c r="CI3" i="12"/>
  <c r="BL4" i="12"/>
  <c r="BR4" i="12"/>
  <c r="CJ4" i="12" s="1"/>
  <c r="BX4" i="12"/>
  <c r="CD4" i="12"/>
  <c r="CH4" i="12"/>
  <c r="CI4" i="12"/>
  <c r="BL5" i="12"/>
  <c r="CJ5" i="12" s="1"/>
  <c r="BN5" i="12"/>
  <c r="BP5" i="12"/>
  <c r="BR5" i="12"/>
  <c r="BT5" i="12"/>
  <c r="BV5" i="12"/>
  <c r="BX5" i="12"/>
  <c r="BZ5" i="12"/>
  <c r="CB5" i="12"/>
  <c r="CD5" i="12"/>
  <c r="CI5" i="12"/>
  <c r="S5" i="12"/>
  <c r="S4" i="12"/>
  <c r="CG3" i="3"/>
  <c r="CE3" i="3"/>
  <c r="CA3" i="3"/>
  <c r="BN88" i="12"/>
  <c r="CH58" i="12"/>
  <c r="CF58" i="12"/>
  <c r="U51" i="12"/>
  <c r="BP72" i="12" s="1"/>
  <c r="T51" i="12"/>
  <c r="BP71" i="12" s="1"/>
  <c r="CG48" i="12"/>
  <c r="CE48" i="12"/>
  <c r="CC48" i="12"/>
  <c r="CA48" i="12"/>
  <c r="BY48" i="12"/>
  <c r="BW48" i="12"/>
  <c r="BU48" i="12"/>
  <c r="BS48" i="12"/>
  <c r="BQ48" i="12"/>
  <c r="BO48" i="12"/>
  <c r="BM48" i="12"/>
  <c r="BG48" i="12"/>
  <c r="BF48" i="12"/>
  <c r="BE48" i="12"/>
  <c r="BD48" i="12"/>
  <c r="BC48" i="12"/>
  <c r="BB48" i="12"/>
  <c r="BA48" i="12"/>
  <c r="AZ48" i="12"/>
  <c r="AY48" i="12"/>
  <c r="AX48" i="12"/>
  <c r="AW48" i="12"/>
  <c r="AV48" i="12"/>
  <c r="AU48" i="12"/>
  <c r="AT48" i="12"/>
  <c r="AS48" i="12"/>
  <c r="AR48" i="12"/>
  <c r="AQ48" i="12"/>
  <c r="AP48" i="12"/>
  <c r="AO48" i="12"/>
  <c r="AN48" i="12"/>
  <c r="AM48" i="12"/>
  <c r="AL48" i="12"/>
  <c r="AK48" i="12"/>
  <c r="AJ48" i="12"/>
  <c r="AI48" i="12"/>
  <c r="AH48" i="12"/>
  <c r="AG48" i="12"/>
  <c r="AF48" i="12"/>
  <c r="AE48" i="12"/>
  <c r="AD48" i="12"/>
  <c r="AC48" i="12"/>
  <c r="AB48" i="12"/>
  <c r="AA48" i="12"/>
  <c r="Z48" i="12"/>
  <c r="Y48" i="12"/>
  <c r="X48" i="12"/>
  <c r="W48" i="12"/>
  <c r="V48" i="12"/>
  <c r="CI47" i="12"/>
  <c r="CI45" i="12"/>
  <c r="BJ45" i="12"/>
  <c r="CH43" i="12"/>
  <c r="CF43" i="12"/>
  <c r="CD43" i="12"/>
  <c r="CB43" i="12"/>
  <c r="BZ43" i="12"/>
  <c r="BX43" i="12"/>
  <c r="BV43" i="12"/>
  <c r="BT43" i="12"/>
  <c r="BR43" i="12"/>
  <c r="BP43" i="12"/>
  <c r="BN43" i="12"/>
  <c r="BL43" i="12"/>
  <c r="BJ43" i="12"/>
  <c r="CI42" i="12"/>
  <c r="BJ42" i="12"/>
  <c r="CI41" i="12"/>
  <c r="BJ41" i="12"/>
  <c r="CI39" i="12"/>
  <c r="BJ39" i="12"/>
  <c r="BJ38" i="12"/>
  <c r="BT58" i="12" s="1"/>
  <c r="BT60" i="12" s="1"/>
  <c r="CI37" i="12"/>
  <c r="BT37" i="12"/>
  <c r="BR37" i="12"/>
  <c r="CJ37" i="12" s="1"/>
  <c r="BJ37" i="12"/>
  <c r="BJ36" i="12"/>
  <c r="CI35" i="12"/>
  <c r="BX35" i="12"/>
  <c r="BV35" i="12"/>
  <c r="BT35" i="12"/>
  <c r="BJ35" i="12"/>
  <c r="BJ34" i="12"/>
  <c r="CI33" i="12"/>
  <c r="BP33" i="12"/>
  <c r="BN33" i="12"/>
  <c r="CJ33" i="12" s="1"/>
  <c r="BJ33" i="12"/>
  <c r="BJ32" i="12"/>
  <c r="BV58" i="12" s="1"/>
  <c r="BV60" i="12" s="1"/>
  <c r="CI31" i="12"/>
  <c r="BV31" i="12"/>
  <c r="BT31" i="12"/>
  <c r="CJ31" i="12" s="1"/>
  <c r="BJ31" i="12"/>
  <c r="BJ30" i="12"/>
  <c r="BZ58" i="12" s="1"/>
  <c r="BZ60" i="12" s="1"/>
  <c r="CI29" i="12"/>
  <c r="BZ29" i="12"/>
  <c r="BX29" i="12"/>
  <c r="BV29" i="12"/>
  <c r="BJ29" i="12"/>
  <c r="BJ28" i="12"/>
  <c r="CI27" i="12"/>
  <c r="BZ27" i="12"/>
  <c r="BX27" i="12"/>
  <c r="CJ27" i="12" s="1"/>
  <c r="BJ27" i="12"/>
  <c r="BJ26" i="12"/>
  <c r="CI25" i="12"/>
  <c r="CD25" i="12"/>
  <c r="CB25" i="12"/>
  <c r="BZ25" i="12"/>
  <c r="BJ25" i="12"/>
  <c r="BJ24" i="12"/>
  <c r="CI23" i="12"/>
  <c r="BR23" i="12"/>
  <c r="CJ23" i="12" s="1"/>
  <c r="BJ23" i="12"/>
  <c r="BJ22" i="12"/>
  <c r="CI21" i="12"/>
  <c r="BP21" i="12"/>
  <c r="CJ21" i="12" s="1"/>
  <c r="BJ21" i="12"/>
  <c r="BJ20" i="12"/>
  <c r="CI19" i="12"/>
  <c r="BN19" i="12"/>
  <c r="BL19" i="12"/>
  <c r="BJ19" i="12"/>
  <c r="BJ18" i="12"/>
  <c r="CI17" i="12"/>
  <c r="BN17" i="12"/>
  <c r="BL17" i="12"/>
  <c r="BJ17" i="12"/>
  <c r="BJ16" i="12"/>
  <c r="CI15" i="12"/>
  <c r="BN15" i="12"/>
  <c r="BL15" i="12"/>
  <c r="CJ15" i="12" s="1"/>
  <c r="BJ15" i="12"/>
  <c r="BJ14" i="12"/>
  <c r="BK13" i="12"/>
  <c r="CI13" i="12" s="1"/>
  <c r="BJ13" i="12"/>
  <c r="BJ12" i="12"/>
  <c r="BK11" i="12"/>
  <c r="BL11" i="12" s="1"/>
  <c r="CJ11" i="12" s="1"/>
  <c r="BJ11" i="12"/>
  <c r="BK8" i="12"/>
  <c r="CI8" i="12" s="1"/>
  <c r="BJ8" i="12"/>
  <c r="BJ7" i="12"/>
  <c r="BK6" i="12"/>
  <c r="CI6" i="12" s="1"/>
  <c r="BJ6" i="12"/>
  <c r="BJ1" i="12"/>
  <c r="BZ45" i="12" s="1"/>
  <c r="K18" i="11"/>
  <c r="G18" i="11"/>
  <c r="H18" i="11" s="1"/>
  <c r="O8" i="11"/>
  <c r="BK88" i="3"/>
  <c r="G34" i="7"/>
  <c r="H34" i="7" s="1"/>
  <c r="H12" i="7"/>
  <c r="K12" i="7" s="1"/>
  <c r="H13" i="7"/>
  <c r="K13" i="7" s="1"/>
  <c r="H14" i="7"/>
  <c r="K14" i="7" s="1"/>
  <c r="H15" i="7"/>
  <c r="K15" i="7" s="1"/>
  <c r="H16" i="7"/>
  <c r="K16" i="7" s="1"/>
  <c r="H17" i="7"/>
  <c r="K17" i="7" s="1"/>
  <c r="H18" i="7"/>
  <c r="K18" i="7" s="1"/>
  <c r="H19" i="7"/>
  <c r="K19" i="7" s="1"/>
  <c r="H20" i="7"/>
  <c r="K20" i="7" s="1"/>
  <c r="H21" i="7"/>
  <c r="K21" i="7" s="1"/>
  <c r="H22" i="7"/>
  <c r="K22" i="7" s="1"/>
  <c r="H23" i="7"/>
  <c r="K23" i="7" s="1"/>
  <c r="H24" i="7"/>
  <c r="K24" i="7" s="1"/>
  <c r="H25" i="7"/>
  <c r="K25" i="7" s="1"/>
  <c r="L2" i="7"/>
  <c r="BG1" i="3"/>
  <c r="BN18" i="12" l="1"/>
  <c r="CJ18" i="12" s="1"/>
  <c r="BL8" i="12"/>
  <c r="CJ8" i="12" s="1"/>
  <c r="CJ29" i="12"/>
  <c r="CD58" i="12"/>
  <c r="CD60" i="12" s="1"/>
  <c r="BL42" i="12"/>
  <c r="BN42" i="12" s="1"/>
  <c r="BP42" i="12" s="1"/>
  <c r="BR42" i="12" s="1"/>
  <c r="BT42" i="12" s="1"/>
  <c r="BV42" i="12" s="1"/>
  <c r="BX42" i="12" s="1"/>
  <c r="BZ42" i="12" s="1"/>
  <c r="CB42" i="12" s="1"/>
  <c r="BL12" i="12"/>
  <c r="CJ12" i="12" s="1"/>
  <c r="CJ17" i="12"/>
  <c r="BR47" i="12"/>
  <c r="BT47" i="12" s="1"/>
  <c r="BN20" i="12"/>
  <c r="CJ20" i="12" s="1"/>
  <c r="BR24" i="12"/>
  <c r="CJ24" i="12" s="1"/>
  <c r="BN39" i="12"/>
  <c r="BP39" i="12" s="1"/>
  <c r="BR39" i="12" s="1"/>
  <c r="BT39" i="12" s="1"/>
  <c r="BV39" i="12" s="1"/>
  <c r="BX39" i="12" s="1"/>
  <c r="BZ39" i="12" s="1"/>
  <c r="CB39" i="12" s="1"/>
  <c r="BX36" i="12"/>
  <c r="CJ36" i="12" s="1"/>
  <c r="CF48" i="12"/>
  <c r="BL58" i="12"/>
  <c r="BN58" i="12"/>
  <c r="BN60" i="12" s="1"/>
  <c r="CD28" i="12"/>
  <c r="CJ28" i="12" s="1"/>
  <c r="CJ43" i="12"/>
  <c r="BN16" i="12"/>
  <c r="CJ16" i="12" s="1"/>
  <c r="CJ19" i="12"/>
  <c r="BP59" i="12"/>
  <c r="BR59" i="12"/>
  <c r="BR60" i="12" s="1"/>
  <c r="CJ35" i="12"/>
  <c r="BL6" i="12"/>
  <c r="CJ6" i="12" s="1"/>
  <c r="BL10" i="12"/>
  <c r="CJ10" i="12" s="1"/>
  <c r="CD26" i="12"/>
  <c r="CJ26" i="12" s="1"/>
  <c r="BL14" i="12"/>
  <c r="CJ14" i="12" s="1"/>
  <c r="BX58" i="12"/>
  <c r="BX60" i="12" s="1"/>
  <c r="BL60" i="12"/>
  <c r="BV47" i="12"/>
  <c r="BX47" i="12" s="1"/>
  <c r="BZ47" i="12" s="1"/>
  <c r="CB47" i="12" s="1"/>
  <c r="BP60" i="12"/>
  <c r="BK48" i="12"/>
  <c r="BL13" i="12"/>
  <c r="CJ13" i="12" s="1"/>
  <c r="CI11" i="12"/>
  <c r="CJ42" i="12"/>
  <c r="CJ25" i="12"/>
  <c r="BL9" i="12"/>
  <c r="CJ9" i="12" s="1"/>
  <c r="BN45" i="12"/>
  <c r="BL7" i="12"/>
  <c r="CJ7" i="12" s="1"/>
  <c r="BP22" i="12"/>
  <c r="CJ22" i="12" s="1"/>
  <c r="BL41" i="12"/>
  <c r="BR45" i="12"/>
  <c r="BZ30" i="12"/>
  <c r="CJ30" i="12" s="1"/>
  <c r="BV32" i="12"/>
  <c r="CJ32" i="12" s="1"/>
  <c r="BP34" i="12"/>
  <c r="CJ34" i="12" s="1"/>
  <c r="BV45" i="12"/>
  <c r="BT38" i="12"/>
  <c r="CJ38" i="12" s="1"/>
  <c r="N18" i="11"/>
  <c r="O18" i="11" s="1"/>
  <c r="L18" i="11"/>
  <c r="K19" i="11"/>
  <c r="I18" i="11"/>
  <c r="G19" i="11"/>
  <c r="G20" i="11" s="1"/>
  <c r="H20" i="11" s="1"/>
  <c r="I20" i="11" s="1"/>
  <c r="G35" i="7"/>
  <c r="H35" i="7" s="1"/>
  <c r="K35" i="7" s="1"/>
  <c r="L35" i="7" s="1"/>
  <c r="N35" i="7" s="1"/>
  <c r="O35" i="7" s="1"/>
  <c r="K34" i="7"/>
  <c r="L34" i="7" s="1"/>
  <c r="N34" i="7" s="1"/>
  <c r="O34" i="7" s="1"/>
  <c r="I34" i="7"/>
  <c r="CJ39" i="12" l="1"/>
  <c r="CI59" i="12"/>
  <c r="CJ47" i="12"/>
  <c r="CH48" i="12"/>
  <c r="CI58" i="12"/>
  <c r="CD48" i="12"/>
  <c r="CJ45" i="12"/>
  <c r="BN41" i="12"/>
  <c r="BP41" i="12" s="1"/>
  <c r="BR41" i="12" s="1"/>
  <c r="BT41" i="12" s="1"/>
  <c r="BV41" i="12" s="1"/>
  <c r="BX41" i="12" s="1"/>
  <c r="BZ41" i="12" s="1"/>
  <c r="CB41" i="12" s="1"/>
  <c r="CB48" i="12" s="1"/>
  <c r="CI60" i="12"/>
  <c r="BK49" i="12"/>
  <c r="BM49" i="12" s="1"/>
  <c r="BO49" i="12" s="1"/>
  <c r="BQ49" i="12" s="1"/>
  <c r="BS49" i="12" s="1"/>
  <c r="BU49" i="12" s="1"/>
  <c r="BW49" i="12" s="1"/>
  <c r="BY49" i="12" s="1"/>
  <c r="CA49" i="12" s="1"/>
  <c r="CC49" i="12" s="1"/>
  <c r="CE49" i="12" s="1"/>
  <c r="CG49" i="12" s="1"/>
  <c r="CI48" i="12"/>
  <c r="BV48" i="12"/>
  <c r="BL48" i="12"/>
  <c r="K20" i="11"/>
  <c r="N20" i="11" s="1"/>
  <c r="O20" i="11" s="1"/>
  <c r="L20" i="11"/>
  <c r="G21" i="11"/>
  <c r="H21" i="11" s="1"/>
  <c r="I21" i="11" s="1"/>
  <c r="H19" i="11"/>
  <c r="I19" i="11" s="1"/>
  <c r="K21" i="11"/>
  <c r="N21" i="11" s="1"/>
  <c r="O21" i="11" s="1"/>
  <c r="I35" i="7"/>
  <c r="J35" i="7" s="1"/>
  <c r="G36" i="7"/>
  <c r="H36" i="7" s="1"/>
  <c r="G37" i="7"/>
  <c r="BN48" i="12" l="1"/>
  <c r="BP48" i="12"/>
  <c r="BL50" i="12"/>
  <c r="BZ48" i="12"/>
  <c r="BX48" i="12"/>
  <c r="BT48" i="12"/>
  <c r="CJ41" i="12"/>
  <c r="BR48" i="12"/>
  <c r="L19" i="11"/>
  <c r="N19" i="11"/>
  <c r="O19" i="11" s="1"/>
  <c r="K22" i="11"/>
  <c r="L21" i="11"/>
  <c r="G22" i="11"/>
  <c r="G38" i="7"/>
  <c r="H37" i="7"/>
  <c r="I36" i="7"/>
  <c r="K36" i="7"/>
  <c r="L36" i="7" s="1"/>
  <c r="N36" i="7" s="1"/>
  <c r="O36" i="7" s="1"/>
  <c r="CJ48" i="12" l="1"/>
  <c r="BN50" i="12"/>
  <c r="BP50" i="12" s="1"/>
  <c r="BR50" i="12" s="1"/>
  <c r="BT50" i="12" s="1"/>
  <c r="BV50" i="12" s="1"/>
  <c r="BX50" i="12" s="1"/>
  <c r="BZ50" i="12" s="1"/>
  <c r="CB50" i="12" s="1"/>
  <c r="CD50" i="12" s="1"/>
  <c r="CF50" i="12" s="1"/>
  <c r="CH50" i="12" s="1"/>
  <c r="CJ51" i="12" s="1"/>
  <c r="K23" i="11"/>
  <c r="H22" i="11"/>
  <c r="I22" i="11" s="1"/>
  <c r="G23" i="11"/>
  <c r="H23" i="11" s="1"/>
  <c r="I23" i="11" s="1"/>
  <c r="G24" i="11"/>
  <c r="K24" i="11"/>
  <c r="K37" i="7"/>
  <c r="L37" i="7" s="1"/>
  <c r="N37" i="7" s="1"/>
  <c r="O37" i="7" s="1"/>
  <c r="I37" i="7"/>
  <c r="G39" i="7"/>
  <c r="H38" i="7"/>
  <c r="N22" i="11" l="1"/>
  <c r="O22" i="11" s="1"/>
  <c r="L23" i="11"/>
  <c r="N23" i="11"/>
  <c r="O23" i="11" s="1"/>
  <c r="L22" i="11"/>
  <c r="G25" i="11"/>
  <c r="H24" i="11"/>
  <c r="I24" i="11" s="1"/>
  <c r="K25" i="11"/>
  <c r="H39" i="7"/>
  <c r="G40" i="7"/>
  <c r="I38" i="7"/>
  <c r="J38" i="7" s="1"/>
  <c r="K38" i="7"/>
  <c r="L38" i="7" s="1"/>
  <c r="N38" i="7" s="1"/>
  <c r="O38" i="7" s="1"/>
  <c r="N24" i="11" l="1"/>
  <c r="O24" i="11" s="1"/>
  <c r="H25" i="11"/>
  <c r="I25" i="11" s="1"/>
  <c r="G26" i="11"/>
  <c r="L24" i="11"/>
  <c r="K26" i="11"/>
  <c r="G41" i="7"/>
  <c r="H40" i="7"/>
  <c r="K39" i="7"/>
  <c r="L39" i="7" s="1"/>
  <c r="N39" i="7" s="1"/>
  <c r="O39" i="7" s="1"/>
  <c r="I39" i="7"/>
  <c r="N25" i="11" l="1"/>
  <c r="O25" i="11" s="1"/>
  <c r="K27" i="11"/>
  <c r="L25" i="11"/>
  <c r="H26" i="11"/>
  <c r="I26" i="11" s="1"/>
  <c r="G27" i="11"/>
  <c r="K40" i="7"/>
  <c r="L40" i="7" s="1"/>
  <c r="N40" i="7" s="1"/>
  <c r="O40" i="7" s="1"/>
  <c r="I40" i="7"/>
  <c r="H41" i="7"/>
  <c r="G42" i="7"/>
  <c r="N26" i="11" l="1"/>
  <c r="O26" i="11" s="1"/>
  <c r="L26" i="11"/>
  <c r="K28" i="11"/>
  <c r="H27" i="11"/>
  <c r="I27" i="11" s="1"/>
  <c r="G28" i="11"/>
  <c r="K41" i="7"/>
  <c r="L41" i="7" s="1"/>
  <c r="N41" i="7" s="1"/>
  <c r="O41" i="7" s="1"/>
  <c r="I41" i="7"/>
  <c r="J41" i="7" s="1"/>
  <c r="H42" i="7"/>
  <c r="G43" i="7"/>
  <c r="N27" i="11" l="1"/>
  <c r="O27" i="11" s="1"/>
  <c r="L27" i="11"/>
  <c r="K29" i="11"/>
  <c r="H28" i="11"/>
  <c r="I28" i="11" s="1"/>
  <c r="G29" i="11"/>
  <c r="H29" i="11" s="1"/>
  <c r="I29" i="11" s="1"/>
  <c r="K42" i="7"/>
  <c r="L42" i="7" s="1"/>
  <c r="N42" i="7" s="1"/>
  <c r="O42" i="7" s="1"/>
  <c r="I42" i="7"/>
  <c r="G44" i="7"/>
  <c r="H43" i="7"/>
  <c r="N29" i="11" l="1"/>
  <c r="O29" i="11" s="1"/>
  <c r="N28" i="11"/>
  <c r="O28" i="11" s="1"/>
  <c r="L28" i="11"/>
  <c r="L29" i="11"/>
  <c r="K43" i="7"/>
  <c r="L43" i="7" s="1"/>
  <c r="N43" i="7" s="1"/>
  <c r="O43" i="7" s="1"/>
  <c r="I43" i="7"/>
  <c r="G45" i="7"/>
  <c r="H44" i="7"/>
  <c r="I44" i="7" l="1"/>
  <c r="J44" i="7" s="1"/>
  <c r="K44" i="7"/>
  <c r="L44" i="7" s="1"/>
  <c r="N44" i="7" s="1"/>
  <c r="O44" i="7" s="1"/>
  <c r="H45" i="7"/>
  <c r="G46" i="7"/>
  <c r="H46" i="7" l="1"/>
  <c r="G47" i="7"/>
  <c r="K45" i="7"/>
  <c r="L45" i="7" s="1"/>
  <c r="N45" i="7" s="1"/>
  <c r="O45" i="7" s="1"/>
  <c r="I45" i="7"/>
  <c r="H47" i="7" l="1"/>
  <c r="G48" i="7"/>
  <c r="H48" i="7" s="1"/>
  <c r="K46" i="7"/>
  <c r="L46" i="7" s="1"/>
  <c r="N46" i="7" s="1"/>
  <c r="O46" i="7" s="1"/>
  <c r="I46" i="7"/>
  <c r="I48" i="7" l="1"/>
  <c r="K48" i="7"/>
  <c r="L48" i="7" s="1"/>
  <c r="N48" i="7" s="1"/>
  <c r="O48" i="7" s="1"/>
  <c r="I47" i="7"/>
  <c r="J47" i="7" s="1"/>
  <c r="K47" i="7"/>
  <c r="L47" i="7" s="1"/>
  <c r="N47" i="7" s="1"/>
  <c r="O47" i="7" s="1"/>
  <c r="CF47" i="3" l="1"/>
  <c r="CF45" i="3"/>
  <c r="CF43" i="3"/>
  <c r="CF42" i="3"/>
  <c r="CF41" i="3"/>
  <c r="CF39" i="3"/>
  <c r="CF37" i="3"/>
  <c r="CF35" i="3"/>
  <c r="CF33" i="3"/>
  <c r="CF31" i="3"/>
  <c r="CF29" i="3"/>
  <c r="CF27" i="3"/>
  <c r="CF25" i="3"/>
  <c r="CF23" i="3"/>
  <c r="CF21" i="3"/>
  <c r="CF19" i="3"/>
  <c r="CF17" i="3"/>
  <c r="CF15" i="3"/>
  <c r="CF5" i="3"/>
  <c r="CF4" i="3"/>
  <c r="CF3" i="3"/>
  <c r="BG47" i="3"/>
  <c r="BG45" i="3"/>
  <c r="BG43" i="3"/>
  <c r="BG42" i="3"/>
  <c r="BG41" i="3"/>
  <c r="BG39" i="3"/>
  <c r="BG37" i="3"/>
  <c r="BG35" i="3"/>
  <c r="BG33" i="3"/>
  <c r="BG31" i="3"/>
  <c r="BG29" i="3"/>
  <c r="BG27" i="3"/>
  <c r="BG25" i="3"/>
  <c r="BG23" i="3"/>
  <c r="BG21" i="3"/>
  <c r="BG19" i="3"/>
  <c r="BG17" i="3"/>
  <c r="BG15" i="3"/>
  <c r="BG13" i="3"/>
  <c r="BG11" i="3"/>
  <c r="BG8" i="3"/>
  <c r="BG6" i="3"/>
  <c r="Q51" i="3"/>
  <c r="BM71" i="3" s="1"/>
  <c r="R51" i="3"/>
  <c r="BM72" i="3" s="1"/>
  <c r="CC31" i="10" l="1"/>
  <c r="CB31" i="10"/>
  <c r="CA31" i="10"/>
  <c r="BZ31" i="10"/>
  <c r="BY31" i="10"/>
  <c r="BX31" i="10"/>
  <c r="BW31" i="10"/>
  <c r="BV31" i="10"/>
  <c r="BU31" i="10"/>
  <c r="BT31" i="10"/>
  <c r="BS31" i="10"/>
  <c r="BR31" i="10"/>
  <c r="BQ31" i="10"/>
  <c r="BP31" i="10"/>
  <c r="BO31" i="10"/>
  <c r="BN31" i="10"/>
  <c r="BM31" i="10"/>
  <c r="BL31" i="10"/>
  <c r="BK31" i="10"/>
  <c r="BH31" i="10"/>
  <c r="BG31" i="10"/>
  <c r="BF31" i="10"/>
  <c r="BE31" i="10"/>
  <c r="BD31" i="10"/>
  <c r="BC31" i="10"/>
  <c r="BB31" i="10"/>
  <c r="BA31" i="10"/>
  <c r="AZ31" i="10"/>
  <c r="AY31" i="10"/>
  <c r="AX31" i="10"/>
  <c r="AW31" i="10"/>
  <c r="AV31" i="10"/>
  <c r="AU31" i="10"/>
  <c r="AT31" i="10"/>
  <c r="AS31" i="10"/>
  <c r="AR31" i="10"/>
  <c r="AQ31" i="10"/>
  <c r="AP31" i="10"/>
  <c r="AO31" i="10"/>
  <c r="AN31" i="10"/>
  <c r="AM31" i="10"/>
  <c r="AL31" i="10"/>
  <c r="AK31" i="10"/>
  <c r="AJ31" i="10"/>
  <c r="AI31" i="10"/>
  <c r="AH31" i="10"/>
  <c r="AG31" i="10"/>
  <c r="AF31" i="10"/>
  <c r="AE31" i="10"/>
  <c r="AD31" i="10"/>
  <c r="AC31" i="10"/>
  <c r="AB31" i="10"/>
  <c r="AA31" i="10"/>
  <c r="Z31" i="10"/>
  <c r="Y31" i="10"/>
  <c r="X31" i="10"/>
  <c r="W31" i="10"/>
  <c r="CD30" i="10"/>
  <c r="U30" i="10" s="1"/>
  <c r="BI30" i="10"/>
  <c r="T30" i="10" s="1"/>
  <c r="CD28" i="10"/>
  <c r="U28" i="10" s="1"/>
  <c r="BI28" i="10"/>
  <c r="T28" i="10" s="1"/>
  <c r="CD26" i="10"/>
  <c r="BI26" i="10"/>
  <c r="T26" i="10" s="1"/>
  <c r="CD25" i="10"/>
  <c r="U25" i="10" s="1"/>
  <c r="BI25" i="10"/>
  <c r="T25" i="10" s="1"/>
  <c r="CD24" i="10"/>
  <c r="U24" i="10" s="1"/>
  <c r="BI24" i="10"/>
  <c r="T24" i="10" s="1"/>
  <c r="CD22" i="10"/>
  <c r="U22" i="10" s="1"/>
  <c r="BI22" i="10"/>
  <c r="T22" i="10" s="1"/>
  <c r="CD21" i="10"/>
  <c r="BI21" i="10"/>
  <c r="CE21" i="10" s="1"/>
  <c r="CD20" i="10"/>
  <c r="BI20" i="10"/>
  <c r="T20" i="10" s="1"/>
  <c r="V20" i="10" s="1"/>
  <c r="CD19" i="10"/>
  <c r="BI19" i="10"/>
  <c r="T19" i="10" s="1"/>
  <c r="V19" i="10" s="1"/>
  <c r="CD18" i="10"/>
  <c r="BI18" i="10"/>
  <c r="T18" i="10" s="1"/>
  <c r="V18" i="10" s="1"/>
  <c r="CD17" i="10"/>
  <c r="BI17" i="10"/>
  <c r="T17" i="10" s="1"/>
  <c r="V17" i="10" s="1"/>
  <c r="CD16" i="10"/>
  <c r="BI16" i="10"/>
  <c r="T16" i="10" s="1"/>
  <c r="V16" i="10" s="1"/>
  <c r="CD15" i="10"/>
  <c r="BI15" i="10"/>
  <c r="T15" i="10" s="1"/>
  <c r="V15" i="10" s="1"/>
  <c r="CD14" i="10"/>
  <c r="BI14" i="10"/>
  <c r="CE14" i="10" s="1"/>
  <c r="CD13" i="10"/>
  <c r="BI13" i="10"/>
  <c r="CD12" i="10"/>
  <c r="BI12" i="10"/>
  <c r="T12" i="10" s="1"/>
  <c r="V12" i="10" s="1"/>
  <c r="CD11" i="10"/>
  <c r="BI11" i="10"/>
  <c r="T11" i="10" s="1"/>
  <c r="V11" i="10" s="1"/>
  <c r="CD10" i="10"/>
  <c r="BI10" i="10"/>
  <c r="T10" i="10" s="1"/>
  <c r="V10" i="10" s="1"/>
  <c r="CD9" i="10"/>
  <c r="BI9" i="10"/>
  <c r="T9" i="10" s="1"/>
  <c r="V9" i="10" s="1"/>
  <c r="CD8" i="10"/>
  <c r="BI8" i="10"/>
  <c r="T8" i="10" s="1"/>
  <c r="V8" i="10" s="1"/>
  <c r="CD7" i="10"/>
  <c r="BI7" i="10"/>
  <c r="T7" i="10" s="1"/>
  <c r="V7" i="10" s="1"/>
  <c r="CD6" i="10"/>
  <c r="BI6" i="10"/>
  <c r="T6" i="10" s="1"/>
  <c r="V6" i="10" s="1"/>
  <c r="CD5" i="10"/>
  <c r="BI5" i="10"/>
  <c r="CD4" i="10"/>
  <c r="BI4" i="10"/>
  <c r="T4" i="10" s="1"/>
  <c r="CD3" i="10"/>
  <c r="U3" i="10" s="1"/>
  <c r="BI3" i="10"/>
  <c r="T3" i="10" s="1"/>
  <c r="CH31" i="9"/>
  <c r="CG31" i="9"/>
  <c r="CF31" i="9"/>
  <c r="CE31" i="9"/>
  <c r="CD31" i="9"/>
  <c r="CC31" i="9"/>
  <c r="CB31" i="9"/>
  <c r="CA31" i="9"/>
  <c r="BZ31" i="9"/>
  <c r="BY31" i="9"/>
  <c r="BX31" i="9"/>
  <c r="BW31" i="9"/>
  <c r="BV31" i="9"/>
  <c r="BU31" i="9"/>
  <c r="BT31" i="9"/>
  <c r="BS31" i="9"/>
  <c r="BR31" i="9"/>
  <c r="BQ31" i="9"/>
  <c r="BP31" i="9"/>
  <c r="BM31" i="9"/>
  <c r="BL31" i="9"/>
  <c r="BK31" i="9"/>
  <c r="BJ31" i="9"/>
  <c r="BI31" i="9"/>
  <c r="BH31" i="9"/>
  <c r="BG31" i="9"/>
  <c r="BF31" i="9"/>
  <c r="BE31" i="9"/>
  <c r="BD31" i="9"/>
  <c r="BC31" i="9"/>
  <c r="BB31" i="9"/>
  <c r="BA31" i="9"/>
  <c r="AZ31" i="9"/>
  <c r="AY31" i="9"/>
  <c r="AX31" i="9"/>
  <c r="AW31" i="9"/>
  <c r="AV31" i="9"/>
  <c r="AU31" i="9"/>
  <c r="AT31" i="9"/>
  <c r="AS31" i="9"/>
  <c r="AR31" i="9"/>
  <c r="AQ31" i="9"/>
  <c r="AP31" i="9"/>
  <c r="AO31" i="9"/>
  <c r="AN31" i="9"/>
  <c r="AM31" i="9"/>
  <c r="AL31" i="9"/>
  <c r="AK31" i="9"/>
  <c r="AJ31" i="9"/>
  <c r="AI31" i="9"/>
  <c r="AH31" i="9"/>
  <c r="AG31" i="9"/>
  <c r="AF31" i="9"/>
  <c r="AE31" i="9"/>
  <c r="AD31" i="9"/>
  <c r="AC31" i="9"/>
  <c r="AB31" i="9"/>
  <c r="CI30" i="9"/>
  <c r="Z30" i="9" s="1"/>
  <c r="BN30" i="9"/>
  <c r="X30" i="9" s="1"/>
  <c r="AA30" i="9" s="1"/>
  <c r="CI28" i="9"/>
  <c r="Z28" i="9" s="1"/>
  <c r="BN28" i="9"/>
  <c r="X28" i="9" s="1"/>
  <c r="AA28" i="9" s="1"/>
  <c r="CI26" i="9"/>
  <c r="CJ26" i="9" s="1"/>
  <c r="BN26" i="9"/>
  <c r="X26" i="9" s="1"/>
  <c r="AA26" i="9" s="1"/>
  <c r="Z26" i="9"/>
  <c r="CJ25" i="9"/>
  <c r="CI25" i="9"/>
  <c r="BN25" i="9"/>
  <c r="Z25" i="9"/>
  <c r="X25" i="9"/>
  <c r="AA25" i="9" s="1"/>
  <c r="CI24" i="9"/>
  <c r="Z24" i="9" s="1"/>
  <c r="BN24" i="9"/>
  <c r="X24" i="9" s="1"/>
  <c r="AA24" i="9" s="1"/>
  <c r="CI22" i="9"/>
  <c r="CJ22" i="9" s="1"/>
  <c r="BN22" i="9"/>
  <c r="X22" i="9" s="1"/>
  <c r="CI21" i="9"/>
  <c r="CJ21" i="9" s="1"/>
  <c r="BN21" i="9"/>
  <c r="X21" i="9" s="1"/>
  <c r="AA21" i="9" s="1"/>
  <c r="CI20" i="9"/>
  <c r="CJ20" i="9" s="1"/>
  <c r="BN20" i="9"/>
  <c r="X20" i="9" s="1"/>
  <c r="AA20" i="9" s="1"/>
  <c r="CI19" i="9"/>
  <c r="CJ19" i="9" s="1"/>
  <c r="BN19" i="9"/>
  <c r="X19" i="9"/>
  <c r="AA19" i="9" s="1"/>
  <c r="CI18" i="9"/>
  <c r="CJ18" i="9" s="1"/>
  <c r="BN18" i="9"/>
  <c r="X18" i="9"/>
  <c r="AA18" i="9" s="1"/>
  <c r="CI17" i="9"/>
  <c r="BN17" i="9"/>
  <c r="X17" i="9" s="1"/>
  <c r="AA17" i="9" s="1"/>
  <c r="CI16" i="9"/>
  <c r="CJ16" i="9" s="1"/>
  <c r="BN16" i="9"/>
  <c r="X16" i="9" s="1"/>
  <c r="AA16" i="9" s="1"/>
  <c r="CJ15" i="9"/>
  <c r="CI15" i="9"/>
  <c r="BN15" i="9"/>
  <c r="X15" i="9"/>
  <c r="AA15" i="9" s="1"/>
  <c r="CJ14" i="9"/>
  <c r="CI14" i="9"/>
  <c r="BN14" i="9"/>
  <c r="X14" i="9" s="1"/>
  <c r="AA14" i="9" s="1"/>
  <c r="CI13" i="9"/>
  <c r="CJ13" i="9" s="1"/>
  <c r="BN13" i="9"/>
  <c r="X13" i="9" s="1"/>
  <c r="AA13" i="9" s="1"/>
  <c r="CI12" i="9"/>
  <c r="CJ12" i="9" s="1"/>
  <c r="BN12" i="9"/>
  <c r="X12" i="9" s="1"/>
  <c r="AA12" i="9" s="1"/>
  <c r="CI11" i="9"/>
  <c r="CJ11" i="9" s="1"/>
  <c r="BN11" i="9"/>
  <c r="X11" i="9"/>
  <c r="AA11" i="9" s="1"/>
  <c r="CI10" i="9"/>
  <c r="CJ10" i="9" s="1"/>
  <c r="BN10" i="9"/>
  <c r="X10" i="9"/>
  <c r="AA10" i="9" s="1"/>
  <c r="CI9" i="9"/>
  <c r="BN9" i="9"/>
  <c r="X9" i="9" s="1"/>
  <c r="AA9" i="9" s="1"/>
  <c r="CI8" i="9"/>
  <c r="CJ8" i="9" s="1"/>
  <c r="BN8" i="9"/>
  <c r="X8" i="9" s="1"/>
  <c r="AA8" i="9" s="1"/>
  <c r="CJ7" i="9"/>
  <c r="CI7" i="9"/>
  <c r="BN7" i="9"/>
  <c r="X7" i="9"/>
  <c r="AA7" i="9" s="1"/>
  <c r="CJ6" i="9"/>
  <c r="CI6" i="9"/>
  <c r="BN6" i="9"/>
  <c r="AA6" i="9"/>
  <c r="X6" i="9"/>
  <c r="CI5" i="9"/>
  <c r="CJ5" i="9" s="1"/>
  <c r="BN5" i="9"/>
  <c r="BN31" i="9" s="1"/>
  <c r="CI4" i="9"/>
  <c r="CJ4" i="9" s="1"/>
  <c r="BN4" i="9"/>
  <c r="X4" i="9"/>
  <c r="CJ3" i="9"/>
  <c r="CI3" i="9"/>
  <c r="CI31" i="9" s="1"/>
  <c r="BN3" i="9"/>
  <c r="X3" i="9" s="1"/>
  <c r="D6" i="2"/>
  <c r="F6" i="2" s="1"/>
  <c r="H6" i="2" s="1"/>
  <c r="C7" i="2"/>
  <c r="D7" i="2" s="1"/>
  <c r="H7" i="2" s="1"/>
  <c r="I12" i="7"/>
  <c r="J12" i="7" s="1"/>
  <c r="I14" i="7"/>
  <c r="I15" i="7"/>
  <c r="J15" i="7" s="1"/>
  <c r="I17" i="7"/>
  <c r="I19" i="7"/>
  <c r="H11" i="7"/>
  <c r="B10" i="6"/>
  <c r="CE58" i="3"/>
  <c r="CD48" i="3"/>
  <c r="CE43" i="3"/>
  <c r="CC58" i="3"/>
  <c r="CB48" i="3"/>
  <c r="CC43" i="3"/>
  <c r="BW25" i="3"/>
  <c r="BG28" i="3"/>
  <c r="BG26" i="3"/>
  <c r="CA25" i="3"/>
  <c r="BZ48" i="3"/>
  <c r="CA43" i="3"/>
  <c r="BY25" i="3"/>
  <c r="BX48" i="3"/>
  <c r="BY43" i="3"/>
  <c r="BG30" i="3"/>
  <c r="BW58" i="3" s="1"/>
  <c r="BG32" i="3"/>
  <c r="BW29" i="3"/>
  <c r="BW27" i="3"/>
  <c r="BV48" i="3"/>
  <c r="BW43" i="3"/>
  <c r="BG36" i="3"/>
  <c r="BU58" i="3" s="1"/>
  <c r="BU35" i="3"/>
  <c r="BU29" i="3"/>
  <c r="BU27" i="3"/>
  <c r="BT48" i="3"/>
  <c r="BU43" i="3"/>
  <c r="BS35" i="3"/>
  <c r="BS29" i="3"/>
  <c r="BS31" i="3"/>
  <c r="BR48" i="3"/>
  <c r="BS43" i="3"/>
  <c r="BQ35" i="3"/>
  <c r="BQ37" i="3"/>
  <c r="BG38" i="3"/>
  <c r="BQ31" i="3"/>
  <c r="BP48" i="3"/>
  <c r="BQ43" i="3"/>
  <c r="BO43" i="3"/>
  <c r="BO37" i="3"/>
  <c r="BO23" i="3"/>
  <c r="CG23" i="3" s="1"/>
  <c r="BG24" i="3"/>
  <c r="BN48" i="3"/>
  <c r="BM43" i="3"/>
  <c r="BK43" i="3"/>
  <c r="BM33" i="3"/>
  <c r="BG34" i="3"/>
  <c r="BG22" i="3"/>
  <c r="BM21" i="3"/>
  <c r="CG21" i="3" s="1"/>
  <c r="BL48" i="3"/>
  <c r="BG20" i="3"/>
  <c r="BG18" i="3"/>
  <c r="BJ48" i="3"/>
  <c r="BI43" i="3"/>
  <c r="BK33" i="3"/>
  <c r="BK19" i="3"/>
  <c r="BK17" i="3"/>
  <c r="BG16" i="3"/>
  <c r="BG14" i="3"/>
  <c r="BG12" i="3"/>
  <c r="BG7" i="3"/>
  <c r="BK15" i="3"/>
  <c r="BI19" i="3"/>
  <c r="BI17" i="3"/>
  <c r="BH6" i="3"/>
  <c r="CF6" i="3" s="1"/>
  <c r="BI15" i="3"/>
  <c r="BD48" i="3"/>
  <c r="BC48" i="3"/>
  <c r="BB48" i="3"/>
  <c r="BA48" i="3"/>
  <c r="AZ48" i="3"/>
  <c r="AY48" i="3"/>
  <c r="AX48" i="3"/>
  <c r="AW48" i="3"/>
  <c r="AV48" i="3"/>
  <c r="AU48" i="3"/>
  <c r="AT48" i="3"/>
  <c r="AS48" i="3"/>
  <c r="AR48" i="3"/>
  <c r="AQ48" i="3"/>
  <c r="AP48" i="3"/>
  <c r="AO48" i="3"/>
  <c r="AN48" i="3"/>
  <c r="AM48" i="3"/>
  <c r="AL48" i="3"/>
  <c r="AK48" i="3"/>
  <c r="AJ48" i="3"/>
  <c r="AI48" i="3"/>
  <c r="AH48" i="3"/>
  <c r="AG48" i="3"/>
  <c r="AF48" i="3"/>
  <c r="AE48" i="3"/>
  <c r="AD48" i="3"/>
  <c r="AC48" i="3"/>
  <c r="AB48" i="3"/>
  <c r="AA48" i="3"/>
  <c r="Z48" i="3"/>
  <c r="Y48" i="3"/>
  <c r="X48" i="3"/>
  <c r="W48" i="3"/>
  <c r="V48" i="3"/>
  <c r="U48" i="3"/>
  <c r="T48" i="3"/>
  <c r="S48" i="3"/>
  <c r="BI52" i="3" l="1"/>
  <c r="BL52" i="12"/>
  <c r="I11" i="7"/>
  <c r="K11" i="7"/>
  <c r="L11" i="7" s="1"/>
  <c r="I22" i="7"/>
  <c r="I25" i="7"/>
  <c r="I21" i="7"/>
  <c r="J21" i="7" s="1"/>
  <c r="I20" i="7"/>
  <c r="L14" i="7"/>
  <c r="I13" i="7"/>
  <c r="CG29" i="3"/>
  <c r="G6" i="2"/>
  <c r="BU60" i="3"/>
  <c r="BW60" i="3"/>
  <c r="CG19" i="3"/>
  <c r="CG33" i="3"/>
  <c r="CG15" i="3"/>
  <c r="CG35" i="3"/>
  <c r="CG27" i="3"/>
  <c r="CG25" i="3"/>
  <c r="CG31" i="3"/>
  <c r="CG43" i="3"/>
  <c r="CG17" i="3"/>
  <c r="CG37" i="3"/>
  <c r="CA5" i="3"/>
  <c r="BK18" i="3"/>
  <c r="CG18" i="3" s="1"/>
  <c r="BK39" i="3"/>
  <c r="BM39" i="3" s="1"/>
  <c r="BO39" i="3" s="1"/>
  <c r="BQ39" i="3" s="1"/>
  <c r="BS39" i="3" s="1"/>
  <c r="BU39" i="3" s="1"/>
  <c r="BW39" i="3" s="1"/>
  <c r="BY39" i="3" s="1"/>
  <c r="CE7" i="10"/>
  <c r="CE11" i="10"/>
  <c r="CE15" i="10"/>
  <c r="V25" i="10"/>
  <c r="CE6" i="10"/>
  <c r="CE26" i="10"/>
  <c r="U26" i="10"/>
  <c r="V26" i="10" s="1"/>
  <c r="CE10" i="10"/>
  <c r="CE24" i="10"/>
  <c r="CE12" i="10"/>
  <c r="CE20" i="10"/>
  <c r="CE9" i="10"/>
  <c r="CE8" i="10"/>
  <c r="T14" i="10"/>
  <c r="V14" i="10" s="1"/>
  <c r="CE16" i="10"/>
  <c r="CE19" i="10"/>
  <c r="V24" i="10"/>
  <c r="CD31" i="10"/>
  <c r="CE3" i="10"/>
  <c r="CE17" i="10"/>
  <c r="CE4" i="10"/>
  <c r="V22" i="10"/>
  <c r="CE5" i="10"/>
  <c r="CE13" i="10"/>
  <c r="CE18" i="10"/>
  <c r="CE25" i="10"/>
  <c r="V28" i="10"/>
  <c r="V3" i="10"/>
  <c r="V30" i="10"/>
  <c r="T5" i="10"/>
  <c r="V5" i="10" s="1"/>
  <c r="T13" i="10"/>
  <c r="V13" i="10" s="1"/>
  <c r="T21" i="10"/>
  <c r="V21" i="10" s="1"/>
  <c r="CE30" i="10"/>
  <c r="CE28" i="10"/>
  <c r="U4" i="10"/>
  <c r="CE22" i="10"/>
  <c r="BI31" i="10"/>
  <c r="X5" i="9"/>
  <c r="AA5" i="9" s="1"/>
  <c r="CJ9" i="9"/>
  <c r="CJ31" i="9" s="1"/>
  <c r="CJ17" i="9"/>
  <c r="CJ24" i="9"/>
  <c r="CJ30" i="9"/>
  <c r="Z4" i="9"/>
  <c r="AA4" i="9" s="1"/>
  <c r="CJ28" i="9"/>
  <c r="Z3" i="9"/>
  <c r="Z22" i="9"/>
  <c r="AA22" i="9" s="1"/>
  <c r="G7" i="2"/>
  <c r="C8" i="2"/>
  <c r="D8" i="2"/>
  <c r="I24" i="7"/>
  <c r="J24" i="7" s="1"/>
  <c r="I16" i="7"/>
  <c r="I23" i="7"/>
  <c r="L18" i="7"/>
  <c r="I18" i="7"/>
  <c r="J18" i="7" s="1"/>
  <c r="L13" i="7"/>
  <c r="BI10" i="3"/>
  <c r="CG10" i="3" s="1"/>
  <c r="BU4" i="3"/>
  <c r="CE4" i="3"/>
  <c r="BK5" i="3"/>
  <c r="BK20" i="3"/>
  <c r="CG20" i="3" s="1"/>
  <c r="BO3" i="3"/>
  <c r="BI42" i="3"/>
  <c r="BK45" i="3"/>
  <c r="CA26" i="3"/>
  <c r="CG26" i="3" s="1"/>
  <c r="CA28" i="3"/>
  <c r="CG28" i="3" s="1"/>
  <c r="BI9" i="3"/>
  <c r="CG9" i="3" s="1"/>
  <c r="BI12" i="3"/>
  <c r="CG12" i="3" s="1"/>
  <c r="BI4" i="3"/>
  <c r="BI41" i="3"/>
  <c r="BY5" i="3"/>
  <c r="BI14" i="3"/>
  <c r="CG14" i="3" s="1"/>
  <c r="BO4" i="3"/>
  <c r="BI7" i="3"/>
  <c r="CG7" i="3" s="1"/>
  <c r="BK16" i="3"/>
  <c r="CG16" i="3" s="1"/>
  <c r="BI5" i="3"/>
  <c r="BM22" i="3"/>
  <c r="CG22" i="3" s="1"/>
  <c r="BO24" i="3"/>
  <c r="CG24" i="3" s="1"/>
  <c r="BI3" i="3"/>
  <c r="BM3" i="3"/>
  <c r="BO5" i="3"/>
  <c r="BK3" i="3"/>
  <c r="BM5" i="3"/>
  <c r="BQ38" i="3"/>
  <c r="CG38" i="3" s="1"/>
  <c r="CC3" i="3"/>
  <c r="CC48" i="3" s="1"/>
  <c r="BO45" i="3"/>
  <c r="BS45" i="3" s="1"/>
  <c r="BW45" i="3"/>
  <c r="BO47" i="3"/>
  <c r="BU3" i="3"/>
  <c r="BS32" i="3"/>
  <c r="CG32" i="3" s="1"/>
  <c r="BQ3" i="3"/>
  <c r="BS3" i="3"/>
  <c r="BU5" i="3"/>
  <c r="BW3" i="3"/>
  <c r="CA4" i="3"/>
  <c r="BM34" i="3"/>
  <c r="CG34" i="3" s="1"/>
  <c r="BQ5" i="3"/>
  <c r="BS5" i="3"/>
  <c r="BW5" i="3"/>
  <c r="BY3" i="3"/>
  <c r="CA58" i="3"/>
  <c r="BW30" i="3"/>
  <c r="CG30" i="3" s="1"/>
  <c r="BS58" i="3"/>
  <c r="BU36" i="3"/>
  <c r="CG36" i="3" s="1"/>
  <c r="BO59" i="3"/>
  <c r="BO60" i="3" s="1"/>
  <c r="BQ58" i="3"/>
  <c r="BK58" i="3"/>
  <c r="BM59" i="3"/>
  <c r="BM60" i="3" s="1"/>
  <c r="BI58" i="3"/>
  <c r="BK52" i="3"/>
  <c r="BI6" i="3"/>
  <c r="CG6" i="3" s="1"/>
  <c r="BH8" i="3"/>
  <c r="CF8" i="3" s="1"/>
  <c r="BH11" i="3"/>
  <c r="BH13" i="3"/>
  <c r="BN52" i="12" l="1"/>
  <c r="BL53" i="12"/>
  <c r="BL55" i="12" s="1"/>
  <c r="L12" i="7"/>
  <c r="BQ60" i="3"/>
  <c r="BS60" i="3"/>
  <c r="BI60" i="3"/>
  <c r="CA60" i="3"/>
  <c r="BK60" i="3"/>
  <c r="CF58" i="3"/>
  <c r="CF59" i="3"/>
  <c r="BI13" i="3"/>
  <c r="CG13" i="3" s="1"/>
  <c r="CF13" i="3"/>
  <c r="BI11" i="3"/>
  <c r="CG11" i="3" s="1"/>
  <c r="CF11" i="3"/>
  <c r="BM52" i="3"/>
  <c r="BO52" i="3" s="1"/>
  <c r="BQ52" i="3" s="1"/>
  <c r="CE48" i="3"/>
  <c r="BK41" i="3"/>
  <c r="BM41" i="3" s="1"/>
  <c r="BO41" i="3" s="1"/>
  <c r="BQ41" i="3" s="1"/>
  <c r="BS41" i="3" s="1"/>
  <c r="BU41" i="3" s="1"/>
  <c r="BW41" i="3" s="1"/>
  <c r="BY41" i="3" s="1"/>
  <c r="BK42" i="3"/>
  <c r="BM42" i="3" s="1"/>
  <c r="BO42" i="3" s="1"/>
  <c r="BQ42" i="3" s="1"/>
  <c r="BS42" i="3" s="1"/>
  <c r="BU42" i="3" s="1"/>
  <c r="BW42" i="3" s="1"/>
  <c r="BY42" i="3" s="1"/>
  <c r="CG45" i="3"/>
  <c r="CG4" i="3"/>
  <c r="CG39" i="3"/>
  <c r="CG5" i="3"/>
  <c r="BQ47" i="3"/>
  <c r="BS47" i="3" s="1"/>
  <c r="BU47" i="3" s="1"/>
  <c r="BW47" i="3" s="1"/>
  <c r="BY47" i="3" s="1"/>
  <c r="U31" i="10"/>
  <c r="V4" i="10"/>
  <c r="CE31" i="10"/>
  <c r="T31" i="10"/>
  <c r="V31" i="10"/>
  <c r="Z31" i="9"/>
  <c r="X31" i="9"/>
  <c r="AA3" i="9"/>
  <c r="AA31" i="9" s="1"/>
  <c r="L15" i="7"/>
  <c r="L17" i="7"/>
  <c r="L24" i="7"/>
  <c r="L16" i="7"/>
  <c r="L23" i="7"/>
  <c r="L20" i="7"/>
  <c r="CA48" i="3"/>
  <c r="BI8" i="3"/>
  <c r="BH48" i="3"/>
  <c r="BL62" i="12" l="1"/>
  <c r="BL64" i="12"/>
  <c r="BL63" i="12"/>
  <c r="BP52" i="12"/>
  <c r="BN53" i="12"/>
  <c r="BN55" i="12" s="1"/>
  <c r="BS52" i="3"/>
  <c r="BU52" i="3" s="1"/>
  <c r="BW52" i="3" s="1"/>
  <c r="BY52" i="3" s="1"/>
  <c r="CA52" i="3" s="1"/>
  <c r="CC52" i="3" s="1"/>
  <c r="CC53" i="3" s="1"/>
  <c r="CF60" i="3"/>
  <c r="BO48" i="3"/>
  <c r="BO53" i="3" s="1"/>
  <c r="BH49" i="3"/>
  <c r="BJ49" i="3" s="1"/>
  <c r="BL49" i="3" s="1"/>
  <c r="BN49" i="3" s="1"/>
  <c r="BP49" i="3" s="1"/>
  <c r="BR49" i="3" s="1"/>
  <c r="BT49" i="3" s="1"/>
  <c r="BV49" i="3" s="1"/>
  <c r="BX49" i="3" s="1"/>
  <c r="BZ49" i="3" s="1"/>
  <c r="CB49" i="3" s="1"/>
  <c r="CD49" i="3" s="1"/>
  <c r="CF48" i="3"/>
  <c r="BI48" i="3"/>
  <c r="BI53" i="3" s="1"/>
  <c r="CG8" i="3"/>
  <c r="BU48" i="3"/>
  <c r="BY48" i="3"/>
  <c r="BQ48" i="3"/>
  <c r="BQ53" i="3" s="1"/>
  <c r="BW48" i="3"/>
  <c r="BK48" i="3"/>
  <c r="BK53" i="3" s="1"/>
  <c r="BM48" i="3"/>
  <c r="BS48" i="3"/>
  <c r="CG42" i="3"/>
  <c r="CG47" i="3"/>
  <c r="CG41" i="3"/>
  <c r="L21" i="7"/>
  <c r="L19" i="7"/>
  <c r="BN64" i="12" l="1"/>
  <c r="BN62" i="12"/>
  <c r="BN63" i="12"/>
  <c r="BR52" i="12"/>
  <c r="BP53" i="12"/>
  <c r="BP55" i="12" s="1"/>
  <c r="BY53" i="3"/>
  <c r="BU53" i="3"/>
  <c r="BS53" i="3"/>
  <c r="BW53" i="3"/>
  <c r="CA53" i="3"/>
  <c r="CE52" i="3"/>
  <c r="CE53" i="3" s="1"/>
  <c r="BI55" i="3"/>
  <c r="CG48" i="3"/>
  <c r="BM53" i="3"/>
  <c r="BM55" i="3" s="1"/>
  <c r="BI50" i="3"/>
  <c r="BK50" i="3" s="1"/>
  <c r="BM50" i="3" s="1"/>
  <c r="BO50" i="3" s="1"/>
  <c r="BQ50" i="3" s="1"/>
  <c r="BS50" i="3" s="1"/>
  <c r="BU50" i="3" s="1"/>
  <c r="BW50" i="3" s="1"/>
  <c r="BY50" i="3" s="1"/>
  <c r="CA50" i="3" s="1"/>
  <c r="CC50" i="3" s="1"/>
  <c r="CE50" i="3" s="1"/>
  <c r="CG51" i="3" s="1"/>
  <c r="L25" i="7"/>
  <c r="L22" i="7"/>
  <c r="BO55" i="3"/>
  <c r="BP64" i="12" l="1"/>
  <c r="BP63" i="12"/>
  <c r="BP62" i="12"/>
  <c r="BT52" i="12"/>
  <c r="BR53" i="12"/>
  <c r="BR55" i="12" s="1"/>
  <c r="CG52" i="3"/>
  <c r="BO62" i="3"/>
  <c r="BO64" i="3"/>
  <c r="BO63" i="3"/>
  <c r="BM64" i="3"/>
  <c r="BM63" i="3"/>
  <c r="BM62" i="3"/>
  <c r="BI64" i="3"/>
  <c r="BI62" i="3"/>
  <c r="BI63" i="3"/>
  <c r="CG53" i="3"/>
  <c r="CG55" i="3" s="1"/>
  <c r="BK55" i="3"/>
  <c r="BQ55" i="3"/>
  <c r="BR63" i="12" l="1"/>
  <c r="BR64" i="12"/>
  <c r="BR62" i="12"/>
  <c r="BV52" i="12"/>
  <c r="BT53" i="12"/>
  <c r="BT55" i="12" s="1"/>
  <c r="BK64" i="3"/>
  <c r="BK62" i="3"/>
  <c r="BK63" i="3"/>
  <c r="BQ63" i="3"/>
  <c r="BQ64" i="3"/>
  <c r="BQ62" i="3"/>
  <c r="BS55" i="3"/>
  <c r="BT63" i="12" l="1"/>
  <c r="BT64" i="12"/>
  <c r="BT62" i="12"/>
  <c r="BX52" i="12"/>
  <c r="BV53" i="12"/>
  <c r="BV55" i="12" s="1"/>
  <c r="BS63" i="3"/>
  <c r="BS64" i="3"/>
  <c r="BS62" i="3"/>
  <c r="BU55" i="3"/>
  <c r="BV63" i="12" l="1"/>
  <c r="BV64" i="12"/>
  <c r="BV62" i="12"/>
  <c r="BZ52" i="12"/>
  <c r="BX53" i="12"/>
  <c r="BX55" i="12" s="1"/>
  <c r="BU63" i="3"/>
  <c r="BU64" i="3"/>
  <c r="BU62" i="3"/>
  <c r="BW55" i="3"/>
  <c r="BX63" i="12" l="1"/>
  <c r="BX64" i="12"/>
  <c r="BX62" i="12"/>
  <c r="CB52" i="12"/>
  <c r="BZ53" i="12"/>
  <c r="BZ55" i="12" s="1"/>
  <c r="BW63" i="3"/>
  <c r="BW64" i="3"/>
  <c r="BW62" i="3"/>
  <c r="BY55" i="3"/>
  <c r="CD52" i="12" l="1"/>
  <c r="CB53" i="12"/>
  <c r="CB55" i="12" s="1"/>
  <c r="BZ64" i="12"/>
  <c r="BZ62" i="12"/>
  <c r="BZ63" i="12"/>
  <c r="BY64" i="3"/>
  <c r="BY63" i="3"/>
  <c r="BY62" i="3"/>
  <c r="CB62" i="12" l="1"/>
  <c r="CB64" i="12"/>
  <c r="CB63" i="12"/>
  <c r="CF52" i="12"/>
  <c r="CH52" i="12"/>
  <c r="CH53" i="12" s="1"/>
  <c r="CH55" i="12" s="1"/>
  <c r="CD53" i="12"/>
  <c r="CD55" i="12" s="1"/>
  <c r="CA55" i="3"/>
  <c r="CE55" i="3"/>
  <c r="CC55" i="3"/>
  <c r="CD62" i="12" l="1"/>
  <c r="CD64" i="12"/>
  <c r="CD63" i="12"/>
  <c r="CF53" i="12"/>
  <c r="CF55" i="12" s="1"/>
  <c r="CJ52" i="12"/>
  <c r="CJ53" i="12" s="1"/>
  <c r="CJ55" i="12" s="1"/>
  <c r="CH62" i="12"/>
  <c r="CH64" i="12"/>
  <c r="CH63" i="12"/>
  <c r="CA64" i="3"/>
  <c r="CA63" i="3"/>
  <c r="CC64" i="3"/>
  <c r="CC63" i="3"/>
  <c r="CE64" i="3"/>
  <c r="CE63" i="3"/>
  <c r="CE62" i="3"/>
  <c r="CC62" i="3"/>
  <c r="CA62" i="3"/>
  <c r="CF63" i="12" l="1"/>
  <c r="CI63" i="12" s="1"/>
  <c r="CF62" i="12"/>
  <c r="CF64" i="12"/>
  <c r="CI64" i="12" s="1"/>
  <c r="BP66" i="12" s="1"/>
  <c r="BP68" i="12" s="1"/>
  <c r="CI62" i="12"/>
  <c r="CF63" i="3"/>
  <c r="CF64" i="3"/>
  <c r="BM66" i="3" s="1"/>
  <c r="BM68" i="3" s="1"/>
  <c r="CF6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Ariel Rodriguez</author>
  </authors>
  <commentList>
    <comment ref="Q39" authorId="0" shapeId="0" xr:uid="{68B1FB6A-D9E9-4CCE-9FD8-0676B070BD89}">
      <text>
        <r>
          <rPr>
            <b/>
            <sz val="9"/>
            <color indexed="81"/>
            <rFont val="Tahoma"/>
            <family val="2"/>
          </rPr>
          <t>Ariel Rodriguez:</t>
        </r>
        <r>
          <rPr>
            <sz val="9"/>
            <color indexed="81"/>
            <rFont val="Tahoma"/>
            <family val="2"/>
          </rPr>
          <t xml:space="preserve">
Horas de Unleash your potential Agendadas - 107 + Horas de Hacker Rank / Silicon Valley Agendadas - 55 + Horas de IA Programming Tools Agendadas - 55+ Feria de Proyectos Agendada - 30 + De todo lo anterior no agendadas + Laboratorista de Todos los Cursos 
245 horas agendadas + no agendadas ie 1 mes y medio agendado y los otros 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Ariel Rodriguez</author>
  </authors>
  <commentList>
    <comment ref="B6" authorId="0" shapeId="0" xr:uid="{94BE2DBB-F30F-40D9-83B0-6A139EEB9DA4}">
      <text>
        <r>
          <rPr>
            <b/>
            <sz val="9"/>
            <color indexed="81"/>
            <rFont val="Tahoma"/>
            <family val="2"/>
          </rPr>
          <t>Ariel Rodriguez:</t>
        </r>
        <r>
          <rPr>
            <sz val="9"/>
            <color indexed="81"/>
            <rFont val="Tahoma"/>
            <family val="2"/>
          </rPr>
          <t xml:space="preserve">
</t>
        </r>
        <r>
          <rPr>
            <b/>
            <i/>
            <sz val="9"/>
            <color indexed="81"/>
            <rFont val="Tahoma"/>
            <family val="2"/>
          </rPr>
          <t>741 Horas de</t>
        </r>
        <r>
          <rPr>
            <sz val="9"/>
            <color indexed="81"/>
            <rFont val="Tahoma"/>
            <family val="2"/>
          </rPr>
          <t xml:space="preserve"> </t>
        </r>
        <r>
          <rPr>
            <b/>
            <i/>
            <sz val="9"/>
            <color indexed="81"/>
            <rFont val="Tahoma"/>
            <family val="2"/>
          </rPr>
          <t xml:space="preserve">Cursos 70% Teoria / 30% Practica. </t>
        </r>
        <r>
          <rPr>
            <sz val="9"/>
            <color indexed="81"/>
            <rFont val="Tahoma"/>
            <family val="2"/>
          </rPr>
          <t xml:space="preserve">A saber, Psicología Bilingüe / Destino Bilingüe 1, Evaluación de Perfilamiento, Soft Skills Program, Pensamiento Computacional, Scrum Master Professional Certificate, 
Project Management Ready, Remote Work Professional Certificate, User Stories Professional Certificate, Java (Fundamentos de Programacion), Flutter App Development (Firebase / Supabase) + FlutterFlow, Spring, Oracle APEX App Develpment (PLSQL), Artificial Intelligence Using Python (IA - Fundamentos de Programacion), Angular, Mobile (Kotlin / Swift - MongoDB - Sistemas Operativos), BD (Oracle, MySQL), Cloud (AWS, Azure, Cloud), DevOps (GitLab / Sonarqube/ Jenkins - Sistemas Operativos), Unleash your Potential (Otras tecnologías, ITIL, Kubernetes / Docker, Servicios Rest, OAS, Okta, etc. Algoritmos, Libros - Basta de Historias)
</t>
        </r>
        <r>
          <rPr>
            <b/>
            <i/>
            <sz val="9"/>
            <color indexed="81"/>
            <rFont val="Tahoma"/>
            <family val="2"/>
          </rPr>
          <t>589 Horas de Solo Practicas.</t>
        </r>
        <r>
          <rPr>
            <sz val="9"/>
            <color indexed="81"/>
            <rFont val="Tahoma"/>
            <family val="2"/>
          </rPr>
          <t xml:space="preserve"> A saber, Hacker Rank / Silicon Valley, IA Programming Tools, Practicas, Feria de Proyectos, Maximize your Potential: Participacion en Eventos, Talks (Presentaciones de Temas y Entrevistas con Directores y Desarrolladores), Participacion en Tomas de Requerimientos, Participacion en Scrums Clientes, Entrevistas de Trabajo Dummys, Actualizacion de Curriculums, Selección de Personal, Grabacion de Evidencias</t>
        </r>
      </text>
    </comment>
    <comment ref="E6" authorId="0" shapeId="0" xr:uid="{7FF16623-5770-4BDE-A5CA-4C8548F4ADEA}">
      <text>
        <r>
          <rPr>
            <b/>
            <sz val="9"/>
            <color indexed="81"/>
            <rFont val="Tahoma"/>
            <family val="2"/>
          </rPr>
          <t>Ariel Rodriguez:</t>
        </r>
        <r>
          <rPr>
            <sz val="9"/>
            <color indexed="81"/>
            <rFont val="Tahoma"/>
            <family val="2"/>
          </rPr>
          <t xml:space="preserve">
741 * .7</t>
        </r>
      </text>
    </comment>
    <comment ref="B7" authorId="0" shapeId="0" xr:uid="{6310923F-8469-4618-AE56-F62742ED1A26}">
      <text>
        <r>
          <rPr>
            <b/>
            <sz val="9"/>
            <color indexed="81"/>
            <rFont val="Tahoma"/>
            <family val="2"/>
          </rPr>
          <t>Ariel Rodriguez:</t>
        </r>
        <r>
          <rPr>
            <sz val="9"/>
            <color indexed="81"/>
            <rFont val="Tahoma"/>
            <family val="2"/>
          </rPr>
          <t xml:space="preserve">
</t>
        </r>
        <r>
          <rPr>
            <b/>
            <i/>
            <sz val="9"/>
            <color indexed="81"/>
            <rFont val="Tahoma"/>
            <family val="2"/>
          </rPr>
          <t>111 Horas de</t>
        </r>
        <r>
          <rPr>
            <sz val="9"/>
            <color indexed="81"/>
            <rFont val="Tahoma"/>
            <family val="2"/>
          </rPr>
          <t xml:space="preserve"> </t>
        </r>
        <r>
          <rPr>
            <b/>
            <i/>
            <sz val="9"/>
            <color indexed="81"/>
            <rFont val="Tahoma"/>
            <family val="2"/>
          </rPr>
          <t xml:space="preserve">Cursos 70% Teoria / 30% Practica. </t>
        </r>
        <r>
          <rPr>
            <sz val="9"/>
            <color indexed="81"/>
            <rFont val="Tahoma"/>
            <family val="2"/>
          </rPr>
          <t xml:space="preserve">A saber, Psicología Bilingüe / Destino Bilingüe 1, Evaluación de Perfilamiento, Unleash your Potential (Otras tecnologías, ITIL, Kubernetes / Docker, Servicios Rest, OAS, Okta, etc. Algoritmos, Libros - Basta de Historias)
</t>
        </r>
        <r>
          <rPr>
            <b/>
            <i/>
            <sz val="9"/>
            <color indexed="81"/>
            <rFont val="Tahoma"/>
            <family val="2"/>
          </rPr>
          <t>554 Horas de Solo Practicas.</t>
        </r>
        <r>
          <rPr>
            <sz val="9"/>
            <color indexed="81"/>
            <rFont val="Tahoma"/>
            <family val="2"/>
          </rPr>
          <t xml:space="preserve"> A saber, Hacker Rank / Silicon Valley, IA Programming Tools, Practicas, Feria de Proyectos, Maximize your Potential: Participacion en Eventos, Talks (Presentaciones de Temas y Entrevistas con Directores y Desarrolladores), Participacion en Tomas de Requerimientos, Participacion en Scrums Clientes, Entrevistas de Trabajo Dummys, Actualizacion de Curriculums, Selección de Personal, Grabacion de Evidencias</t>
        </r>
      </text>
    </comment>
    <comment ref="E7" authorId="0" shapeId="0" xr:uid="{FD137443-BE72-435F-A1B7-339D3E02AEB6}">
      <text>
        <r>
          <rPr>
            <b/>
            <sz val="9"/>
            <color indexed="81"/>
            <rFont val="Tahoma"/>
            <family val="2"/>
          </rPr>
          <t>Ariel Rodriguez:</t>
        </r>
        <r>
          <rPr>
            <sz val="9"/>
            <color indexed="81"/>
            <rFont val="Tahoma"/>
            <family val="2"/>
          </rPr>
          <t xml:space="preserve">
111 * .7</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<sst xmlns="http://schemas.openxmlformats.org/spreadsheetml/2006/main" count="975" uniqueCount="292">
  <si>
    <t>Incluido</t>
  </si>
  <si>
    <t>Ramsés Hernández</t>
  </si>
  <si>
    <t>CertiProf</t>
  </si>
  <si>
    <t>Remote Work Professional Certificate</t>
  </si>
  <si>
    <t>Evaluación de Perfilamiento</t>
  </si>
  <si>
    <t>José Alejandro Briones</t>
  </si>
  <si>
    <t>Por definir</t>
  </si>
  <si>
    <t>Soft Skills Program</t>
  </si>
  <si>
    <t>Spring</t>
  </si>
  <si>
    <t>Mobile</t>
  </si>
  <si>
    <t>DevOps</t>
  </si>
  <si>
    <t>Algoritmos</t>
  </si>
  <si>
    <t>Teoria Matematica de la Computacion</t>
  </si>
  <si>
    <t>Analisis y Diseño de Sistemas</t>
  </si>
  <si>
    <t>Arquitectura de Computadoras y Programacion Concurrente</t>
  </si>
  <si>
    <t>Ingenieria de Software</t>
  </si>
  <si>
    <t>Proyectos de Investigacion</t>
  </si>
  <si>
    <t>Examen</t>
  </si>
  <si>
    <t>Si</t>
  </si>
  <si>
    <t>Android ATC</t>
  </si>
  <si>
    <t>No</t>
  </si>
  <si>
    <t>Oracle</t>
  </si>
  <si>
    <t>Cloud</t>
  </si>
  <si>
    <t>Certiport</t>
  </si>
  <si>
    <t>Certiport *</t>
  </si>
  <si>
    <t>No*</t>
  </si>
  <si>
    <t>Oracle / Posgress</t>
  </si>
  <si>
    <t>Varios</t>
  </si>
  <si>
    <t>Amazon / Microsoft / Google</t>
  </si>
  <si>
    <t>Google / Apple</t>
  </si>
  <si>
    <t>Ingles</t>
  </si>
  <si>
    <t>Marca</t>
  </si>
  <si>
    <t>Soft Skills</t>
  </si>
  <si>
    <t>Introduccion al Trabajo</t>
  </si>
  <si>
    <t>Fundamentos</t>
  </si>
  <si>
    <t>Metodologias</t>
  </si>
  <si>
    <t>Programacion</t>
  </si>
  <si>
    <t>Base de Datos</t>
  </si>
  <si>
    <t>Low Code / No Code</t>
  </si>
  <si>
    <t>Frameworks</t>
  </si>
  <si>
    <t>IA</t>
  </si>
  <si>
    <t>Oscar Alfredo Flores</t>
  </si>
  <si>
    <t>Victor Manzanero</t>
  </si>
  <si>
    <t>Jovanni Arzate</t>
  </si>
  <si>
    <t>Semana 1</t>
  </si>
  <si>
    <t>Semana 2</t>
  </si>
  <si>
    <t>Semana 3</t>
  </si>
  <si>
    <t>Semana 4</t>
  </si>
  <si>
    <t>Semana 5</t>
  </si>
  <si>
    <t>Semana 6</t>
  </si>
  <si>
    <t>Semana 7</t>
  </si>
  <si>
    <t>Semana 8</t>
  </si>
  <si>
    <t>Semana 9</t>
  </si>
  <si>
    <t>Semana 10</t>
  </si>
  <si>
    <t>Semana 11</t>
  </si>
  <si>
    <t>Semana 12</t>
  </si>
  <si>
    <t>Semana 13</t>
  </si>
  <si>
    <t>Semana 14</t>
  </si>
  <si>
    <t>Semana 15</t>
  </si>
  <si>
    <t>Semana 16</t>
  </si>
  <si>
    <t>Semana 17</t>
  </si>
  <si>
    <t>Semana 18</t>
  </si>
  <si>
    <t>Semana 19</t>
  </si>
  <si>
    <t>Semana 20</t>
  </si>
  <si>
    <t>Semana 21</t>
  </si>
  <si>
    <t>Semana 22</t>
  </si>
  <si>
    <t>Semana 23</t>
  </si>
  <si>
    <t>Semana 24</t>
  </si>
  <si>
    <t>Semana 25</t>
  </si>
  <si>
    <t>Semana 26</t>
  </si>
  <si>
    <t>Semana 27</t>
  </si>
  <si>
    <t>Semana 28</t>
  </si>
  <si>
    <t>Semana 29</t>
  </si>
  <si>
    <t>Semana 30</t>
  </si>
  <si>
    <t>Semana 31</t>
  </si>
  <si>
    <t>Semana 32</t>
  </si>
  <si>
    <t>Semana 33</t>
  </si>
  <si>
    <t>Semana 34</t>
  </si>
  <si>
    <t>Semana 35</t>
  </si>
  <si>
    <t>Semana 36</t>
  </si>
  <si>
    <t>Semana 37</t>
  </si>
  <si>
    <t>Semana 38</t>
  </si>
  <si>
    <t>Feria de Proyectos</t>
  </si>
  <si>
    <t>Practicas</t>
  </si>
  <si>
    <t>Total</t>
  </si>
  <si>
    <t>Horas por Mes</t>
  </si>
  <si>
    <t>Asesor</t>
  </si>
  <si>
    <t>Mes 1</t>
  </si>
  <si>
    <t>Mes 2</t>
  </si>
  <si>
    <t>Mes 3</t>
  </si>
  <si>
    <t>Mes 4</t>
  </si>
  <si>
    <t>Mes 5</t>
  </si>
  <si>
    <t>Mes 6</t>
  </si>
  <si>
    <t>Mes 7</t>
  </si>
  <si>
    <t>Mes 8</t>
  </si>
  <si>
    <t>Mes 9</t>
  </si>
  <si>
    <t>Certiport, Python Institute</t>
  </si>
  <si>
    <t>CertiProf o Marca DevOps</t>
  </si>
  <si>
    <t>Maximize your Potential: Participacion en Eventos, Talks (Presentaciones de Temas y Entrevistas con Directores y Desarrolladores), Participacion en Tomas de Requerimientos, Participacion en Scrums Clientes, Entrevistas de Trabajo Dummys, Actualizacion de Curriculums, Selección de Personal, Grabacion de Evidencias</t>
  </si>
  <si>
    <t xml:space="preserve">   </t>
  </si>
  <si>
    <t>Hacker Rank / Silicon Valley</t>
  </si>
  <si>
    <t>Unleash your Potential (Otras tecnologías, ITIL, Kubernetes / Docker, Servicios Rest, OAS, Okta, etc. Algoritmos, Libros - Basta de Historias)</t>
  </si>
  <si>
    <t>IA Programming Tools</t>
  </si>
  <si>
    <t>Project Management Ready</t>
  </si>
  <si>
    <t>PMI</t>
  </si>
  <si>
    <t>Salvador Ayala</t>
  </si>
  <si>
    <t>Centro de Certificación</t>
  </si>
  <si>
    <t>Tecnología</t>
  </si>
  <si>
    <t>Scrum</t>
  </si>
  <si>
    <t>Badge</t>
  </si>
  <si>
    <t>Varias</t>
  </si>
  <si>
    <t>Project Management</t>
  </si>
  <si>
    <t>Remote Work</t>
  </si>
  <si>
    <t>User Stories</t>
  </si>
  <si>
    <t>AI</t>
  </si>
  <si>
    <t>Asistente de Operaciones</t>
  </si>
  <si>
    <t>Responsable de Operaciones</t>
  </si>
  <si>
    <t>Horas</t>
  </si>
  <si>
    <t>Variable</t>
  </si>
  <si>
    <t>Platafoma Psicotest</t>
  </si>
  <si>
    <t>Licencia de Monday 5 usuarios</t>
  </si>
  <si>
    <t>Alumnos</t>
  </si>
  <si>
    <t>Relacionista Público Empresas TICs Parcial</t>
  </si>
  <si>
    <t>Costo Fijo de Operaciones</t>
  </si>
  <si>
    <t>Costo Total de Vouchers</t>
  </si>
  <si>
    <t>Costo Total de Vouchers Especiales</t>
  </si>
  <si>
    <t>Costo de Operación por Mes sin Vouchers</t>
  </si>
  <si>
    <t>Mes 9.5</t>
  </si>
  <si>
    <t>Ultimo mes</t>
  </si>
  <si>
    <t>Mes 10 en adelante</t>
  </si>
  <si>
    <t>Se cobran 12 meses aunque se opera solo 9.5</t>
  </si>
  <si>
    <t>Total vouchers</t>
  </si>
  <si>
    <t>Costo de Certificaciones por mes con certificaciones especiales</t>
  </si>
  <si>
    <t>Costo Promedio Mensual</t>
  </si>
  <si>
    <t>Costo Operativo Total Primer Año</t>
  </si>
  <si>
    <t>Costo Operativo Total Segundo Año</t>
  </si>
  <si>
    <t>Costo Minimo Operativo</t>
  </si>
  <si>
    <t>Comercial</t>
  </si>
  <si>
    <t>Vendedores / RS / Mktg</t>
  </si>
  <si>
    <t>Costo</t>
  </si>
  <si>
    <t>Certificaciones</t>
  </si>
  <si>
    <t>Costo Operativo</t>
  </si>
  <si>
    <t>Vouchers</t>
  </si>
  <si>
    <t>Titulo</t>
  </si>
  <si>
    <t>% Costo vs Total</t>
  </si>
  <si>
    <t>Utilidad</t>
  </si>
  <si>
    <t>Precio de Venta</t>
  </si>
  <si>
    <t>Utilidad por Alumno</t>
  </si>
  <si>
    <t>Costo Titulacion</t>
  </si>
  <si>
    <t>Utilifdad Total</t>
  </si>
  <si>
    <t>Utilidad 50%</t>
  </si>
  <si>
    <t>Por pago anticipado</t>
  </si>
  <si>
    <t>Costo Inscripcion</t>
  </si>
  <si>
    <t>Comision del Vendedor de la inscripcion</t>
  </si>
  <si>
    <t>Contra el pago de la Inscripcion</t>
  </si>
  <si>
    <t>Incluye el Material del Curso</t>
  </si>
  <si>
    <t>Segundo Medio Año</t>
  </si>
  <si>
    <t>Dias</t>
  </si>
  <si>
    <t>Modelo para 7 horas diarias</t>
  </si>
  <si>
    <t>Practica</t>
  </si>
  <si>
    <t>Teoria</t>
  </si>
  <si>
    <t>% Teoria</t>
  </si>
  <si>
    <t>% Practica</t>
  </si>
  <si>
    <t>Semana 39</t>
  </si>
  <si>
    <t>Semana 40</t>
  </si>
  <si>
    <t>Semana 41</t>
  </si>
  <si>
    <t>Semana 42</t>
  </si>
  <si>
    <t>Semana 43</t>
  </si>
  <si>
    <t>Semana 44</t>
  </si>
  <si>
    <t>Semana 45</t>
  </si>
  <si>
    <t>Semana 46</t>
  </si>
  <si>
    <t>Semana 47</t>
  </si>
  <si>
    <t>Semana 48</t>
  </si>
  <si>
    <t>Semana 49</t>
  </si>
  <si>
    <t>Semana 50</t>
  </si>
  <si>
    <t>Semana 51</t>
  </si>
  <si>
    <t>Semana 52</t>
  </si>
  <si>
    <t>Semana 53</t>
  </si>
  <si>
    <t>Semana 54</t>
  </si>
  <si>
    <t>Semana 55</t>
  </si>
  <si>
    <t>Semana 56</t>
  </si>
  <si>
    <t>Semana 57</t>
  </si>
  <si>
    <t>Total programa</t>
  </si>
  <si>
    <t>Primer año</t>
  </si>
  <si>
    <t>Deschaketizate - Diego Rendón</t>
  </si>
  <si>
    <t>Keep Going - Andrea del Prado, María José, Sofía Lona</t>
  </si>
  <si>
    <t>Julio Fernández</t>
  </si>
  <si>
    <r>
      <t>Responsable de Operaciones (</t>
    </r>
    <r>
      <rPr>
        <i/>
        <sz val="12.1"/>
        <color theme="1"/>
        <rFont val="Aptos Narrow"/>
        <family val="2"/>
      </rPr>
      <t>Por definir</t>
    </r>
    <r>
      <rPr>
        <sz val="11"/>
        <color theme="1"/>
        <rFont val="Aptos Narrow"/>
        <family val="2"/>
        <scheme val="minor"/>
      </rPr>
      <t xml:space="preserve">) + Quary - </t>
    </r>
  </si>
  <si>
    <t>Por definir (Varios)</t>
  </si>
  <si>
    <t>1 *</t>
  </si>
  <si>
    <t>Ángelo Castillo</t>
  </si>
  <si>
    <t>Total Programa</t>
  </si>
  <si>
    <t>IT Specialist Computational Thininking</t>
  </si>
  <si>
    <t>Scrum Foundation Professional Certification / Scrum Master Professional Certificate</t>
  </si>
  <si>
    <t>User Stories Foundation Certificate</t>
  </si>
  <si>
    <t>Java Certified Foundations Associate Certification</t>
  </si>
  <si>
    <t>Flutter Certified Application Developer + Firebase / Supabase + FlutterFlow</t>
  </si>
  <si>
    <t>VMWare Spring Certified Professional 2024</t>
  </si>
  <si>
    <t>Oracle APEX Oracle APEX Cloud Developer Certified Professional</t>
  </si>
  <si>
    <t>Artificial Intelligence Using Python (Artificial Intelligence Professional Certificate  + IT Specialist Python)</t>
  </si>
  <si>
    <t>Angular Developer</t>
  </si>
  <si>
    <t>App Development with Swift Associate o Certified Android App Developer o Google Certified Associate Android Developer Kotlin</t>
  </si>
  <si>
    <t>Oracle Database PL/SQL Developer Certified Professional u MySQL Database Developer Oracle Certified Professional</t>
  </si>
  <si>
    <t xml:space="preserve">AWS Certified Cloud Practitioner o Cloud (AWS, Azure, Cloud) </t>
  </si>
  <si>
    <t>DevOps Foundation Professional Certification o DevOps (GitLab / Sonarqube/ Jenkins - Sistemas Operativos)</t>
  </si>
  <si>
    <t>Programa Licenciatura en Sistemas de Computación Administrativa</t>
  </si>
  <si>
    <t>Primer Año Total</t>
  </si>
  <si>
    <t>Segundo Medio Año Total</t>
  </si>
  <si>
    <t>Keep Going</t>
  </si>
  <si>
    <t>Inglés - Psicología Bilingüe / Destino Bilingüe</t>
  </si>
  <si>
    <t>Proveedor</t>
  </si>
  <si>
    <t>Examen Certificacion</t>
  </si>
  <si>
    <t>Incluidos</t>
  </si>
  <si>
    <t>Total Horas</t>
  </si>
  <si>
    <t>Examen Scrum Foundation</t>
  </si>
  <si>
    <t>Examen Scrum Master</t>
  </si>
  <si>
    <t>RP</t>
  </si>
  <si>
    <t>Examen Python</t>
  </si>
  <si>
    <t>Examen IA</t>
  </si>
  <si>
    <t>Angular Training</t>
  </si>
  <si>
    <t>Gasto</t>
  </si>
  <si>
    <t>Asesor Interno</t>
  </si>
  <si>
    <t>Horas Acumuladas</t>
  </si>
  <si>
    <t>Horas Totales</t>
  </si>
  <si>
    <t>Egresos Acumulados</t>
  </si>
  <si>
    <t>Gasto Total</t>
  </si>
  <si>
    <t>Costo Total de Operaciones</t>
  </si>
  <si>
    <t>Costo de Operación por Mes por participante</t>
  </si>
  <si>
    <t>Costo Total de Operación por Mes por participante</t>
  </si>
  <si>
    <t>Con Adicionales</t>
  </si>
  <si>
    <t>Costo de Operación por Mes con Todos los Vouchers</t>
  </si>
  <si>
    <t>Costo Total de Operación con Todos los Vouchers</t>
  </si>
  <si>
    <t>Costo de Operación por Mes con los Vouchers Obligatorios</t>
  </si>
  <si>
    <t>Costo Total de Operación con los Vouchers Obligatorios</t>
  </si>
  <si>
    <t>Costo Total de Operación por Mes sin Vouchers</t>
  </si>
  <si>
    <t>Y en total por año y medio se operan 14.25 meses aunque se cobran 18</t>
  </si>
  <si>
    <t>Costo promedio mensual por alumno</t>
  </si>
  <si>
    <t>Costo de Certificaciones por mes con 4 certificaciones</t>
  </si>
  <si>
    <t>Costo de Certificaciones por mes con certificaciones obligatorias</t>
  </si>
  <si>
    <t>Comportamiento del Costo Operativo sin Vouchers</t>
  </si>
  <si>
    <t>Costo de Título</t>
  </si>
  <si>
    <t>Parte Mensual</t>
  </si>
  <si>
    <t>Caso 1: Cobrando el Titulo en las 18 mensualidades</t>
  </si>
  <si>
    <t>Caso 2: Cobrando el la mitad del titulo en las 18 mensualidades y el resto en un Costo de Titulación</t>
  </si>
  <si>
    <t>Decisiones</t>
  </si>
  <si>
    <t>Programa Colegiatura con 14 Certificaciones</t>
  </si>
  <si>
    <t>Programa Colegiatura con 17 Certificaciones</t>
  </si>
  <si>
    <t>Seleccionado</t>
  </si>
  <si>
    <t>Beca Credito</t>
  </si>
  <si>
    <t>Para pagar al final</t>
  </si>
  <si>
    <t>Punto de Equilibrio</t>
  </si>
  <si>
    <t>Utilidad Buscada</t>
  </si>
  <si>
    <t>Temas a tocar como parte de la carrera de Sistemas de la UAM. Mejor Escuela de Computacion</t>
  </si>
  <si>
    <t>Costo Mensual por Alumno</t>
  </si>
  <si>
    <t>Costo Mensual Total</t>
  </si>
  <si>
    <t>Costo Total</t>
  </si>
  <si>
    <t>Total IT Certifications</t>
  </si>
  <si>
    <t>Total English</t>
  </si>
  <si>
    <t>Total Psicometric Evaluations</t>
  </si>
  <si>
    <t>Total Softskills</t>
  </si>
  <si>
    <t>Caso Universidad Certiport</t>
  </si>
  <si>
    <t>Ya</t>
  </si>
  <si>
    <t>Mes 10</t>
  </si>
  <si>
    <t>Mes 11</t>
  </si>
  <si>
    <t>Mes 12</t>
  </si>
  <si>
    <t>Mes 13</t>
  </si>
  <si>
    <t>Mes 14</t>
  </si>
  <si>
    <t>Semanas TC</t>
  </si>
  <si>
    <t>Semanas MT</t>
  </si>
  <si>
    <t>Persona de Medio Tiempo para Laboratorios</t>
  </si>
  <si>
    <t>Asesor Medio Tiempo Practicas</t>
  </si>
  <si>
    <t>Operaciones</t>
  </si>
  <si>
    <t>Alto Volumen</t>
  </si>
  <si>
    <t>HH</t>
  </si>
  <si>
    <t>ST</t>
  </si>
  <si>
    <t>Colegiatura</t>
  </si>
  <si>
    <t>IVA</t>
  </si>
  <si>
    <t>Cobro de Tarjeta</t>
  </si>
  <si>
    <t>Final Maximo</t>
  </si>
  <si>
    <t>Precio Final de Colegiatura Sin Beca</t>
  </si>
  <si>
    <t>Beca 10%</t>
  </si>
  <si>
    <t>Beca 20%</t>
  </si>
  <si>
    <t>Beca 40%</t>
  </si>
  <si>
    <t>Beca 30%</t>
  </si>
  <si>
    <t>Concepto</t>
  </si>
  <si>
    <t>Porcentaje</t>
  </si>
  <si>
    <t>Modelo Final</t>
  </si>
  <si>
    <t>Colegiatura Universidad</t>
  </si>
  <si>
    <t>Curso Independiente</t>
  </si>
  <si>
    <t>Precio del Curso</t>
  </si>
  <si>
    <t>Precio Final de Curso Sin Beca</t>
  </si>
  <si>
    <t>Modelo Financiero de Utilidad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</si>
</sst>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29" x14ac:knownFonts="1">
    <font>
      <sz val="11"/>
      <color theme="1"/>
      <name val="Aptos Narrow"/>
      <family val="2"/>
      <scheme val="minor"/>
    </font>
    <font>
      <b/>
      <sz val="11"/>
      <color theme="0"/>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i/>
      <sz val="11"/>
      <color theme="5"/>
      <name val="Aptos Narrow"/>
      <family val="2"/>
      <scheme val="minor"/>
    </font>
    <font>
      <sz val="11"/>
      <color theme="1"/>
      <name val="Aptos Narrow"/>
      <family val="2"/>
      <scheme val="minor"/>
    </font>
    <font>
      <sz val="9"/>
      <color theme="1"/>
      <name val="Aptos Narrow"/>
      <family val="2"/>
      <scheme val="minor"/>
    </font>
    <font>
      <b/>
      <sz val="12"/>
      <color theme="1"/>
      <name val="Aptos Narrow"/>
      <family val="2"/>
      <scheme val="minor"/>
    </font>
    <font>
      <b/>
      <sz val="20"/>
      <color theme="1"/>
      <name val="Aptos Narrow"/>
      <family val="2"/>
      <scheme val="minor"/>
    </font>
    <font>
      <i/>
      <sz val="11"/>
      <color theme="1"/>
      <name val="Aptos Narrow"/>
      <family val="2"/>
      <scheme val="minor"/>
    </font>
    <font>
      <b/>
      <i/>
      <sz val="11"/>
      <color theme="1"/>
      <name val="Aptos Narrow"/>
      <family val="2"/>
      <scheme val="minor"/>
    </font>
    <font>
      <sz val="9"/>
      <color indexed="81"/>
      <name val="Tahoma"/>
      <family val="2"/>
    </font>
    <font>
      <b/>
      <sz val="9"/>
      <color indexed="81"/>
      <name val="Tahoma"/>
      <family val="2"/>
    </font>
    <font>
      <b/>
      <i/>
      <sz val="9"/>
      <color indexed="81"/>
      <name val="Tahoma"/>
      <family val="2"/>
    </font>
    <font>
      <i/>
      <sz val="12.1"/>
      <color theme="1"/>
      <name val="Aptos Narrow"/>
      <family val="2"/>
    </font>
    <font>
      <b/>
      <sz val="12"/>
      <color theme="0"/>
      <name val="Aptos Narrow"/>
      <family val="2"/>
      <scheme val="minor"/>
    </font>
    <font>
      <b/>
      <sz val="10"/>
      <color theme="1"/>
      <name val="Aptos Narrow"/>
      <family val="2"/>
      <scheme val="minor"/>
    </font>
    <font>
      <b/>
      <sz val="14"/>
      <name val="Aptos Narrow"/>
      <family val="2"/>
      <scheme val="minor"/>
    </font>
    <font>
      <sz val="12"/>
      <color theme="1"/>
      <name val="Aptos Narrow"/>
      <family val="2"/>
      <scheme val="minor"/>
    </font>
    <font>
      <b/>
      <sz val="14"/>
      <color theme="1"/>
      <name val="Aptos Narrow"/>
      <family val="2"/>
      <scheme val="minor"/>
    </font>
    <font>
      <b/>
      <sz val="16"/>
      <color theme="1"/>
      <name val="Aptos Narrow"/>
      <family val="2"/>
      <scheme val="minor"/>
    </font>
    <font>
      <b/>
      <sz val="18"/>
      <color theme="1"/>
      <name val="Aptos Narrow"/>
      <family val="2"/>
      <scheme val="minor"/>
    </font>
    <font>
      <b/>
      <sz val="10"/>
      <color theme="0"/>
      <name val="Aptos Narrow"/>
      <family val="2"/>
      <scheme val="minor"/>
    </font>
    <font>
      <sz val="10"/>
      <color theme="1"/>
      <name val="Aptos Narrow"/>
      <family val="2"/>
      <scheme val="minor"/>
    </font>
    <font>
      <b/>
      <sz val="9"/>
      <color theme="0"/>
      <name val="Aptos Narrow"/>
      <family val="2"/>
      <scheme val="minor"/>
    </font>
    <font>
      <sz val="8"/>
      <name val="Aptos Narrow"/>
      <family val="2"/>
      <scheme val="minor"/>
    </font>
    <font>
      <sz val="11"/>
      <color theme="0"/>
      <name val="Aptos Narrow"/>
      <family val="2"/>
      <scheme val="minor"/>
    </font>
    <font>
      <b/>
      <sz val="28"/>
      <color theme="1"/>
      <name val="Aptos Narrow"/>
      <family val="2"/>
      <scheme val="minor"/>
    </font>
  </fonts>
  <fills count="2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6" tint="0.59999389629810485"/>
        <bgColor indexed="64"/>
      </patternFill>
    </fill>
    <fill>
      <patternFill patternType="solid">
        <fgColor theme="5"/>
        <bgColor indexed="64"/>
      </patternFill>
    </fill>
    <fill>
      <patternFill patternType="solid">
        <fgColor theme="4"/>
        <bgColor indexed="64"/>
      </patternFill>
    </fill>
    <fill>
      <patternFill patternType="solid">
        <fgColor rgb="FF66FF33"/>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rgb="FFFFC000"/>
        <bgColor indexed="64"/>
      </patternFill>
    </fill>
    <fill>
      <patternFill patternType="solid">
        <fgColor rgb="FFFF0000"/>
        <bgColor indexed="64"/>
      </patternFill>
    </fill>
    <fill>
      <patternFill patternType="solid">
        <fgColor rgb="FFFFFF99"/>
        <bgColor indexed="64"/>
      </patternFill>
    </fill>
    <fill>
      <patternFill patternType="solid">
        <fgColor theme="7" tint="0.79998168889431442"/>
        <bgColor indexed="64"/>
      </patternFill>
    </fill>
    <fill>
      <patternFill patternType="solid">
        <fgColor rgb="FFCCFF99"/>
        <bgColor indexed="64"/>
      </patternFill>
    </fill>
    <fill>
      <patternFill patternType="mediumGray">
        <bgColor theme="0" tint="-0.14996795556505021"/>
      </patternFill>
    </fill>
    <fill>
      <patternFill patternType="solid">
        <fgColor rgb="FF00B050"/>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0" tint="-0.14999847407452621"/>
        <bgColor indexed="64"/>
      </patternFill>
    </fill>
    <fill>
      <patternFill patternType="lightUp">
        <fgColor theme="4"/>
      </patternFill>
    </fill>
    <fill>
      <patternFill patternType="solid">
        <fgColor theme="0" tint="-0.499984740745262"/>
        <bgColor indexed="64"/>
      </patternFill>
    </fill>
    <fill>
      <patternFill patternType="solid">
        <fgColor rgb="FFCCFF33"/>
        <bgColor indexed="64"/>
      </patternFill>
    </fill>
    <fill>
      <patternFill patternType="solid">
        <fgColor theme="0"/>
        <bgColor indexed="64"/>
      </patternFill>
    </fill>
    <fill>
      <patternFill patternType="solid">
        <fgColor theme="1" tint="0.499984740745262"/>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diagonal/>
    </border>
    <border>
      <left style="thin">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medium">
        <color indexed="64"/>
      </top>
      <bottom style="medium">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398">
    <xf numFmtId="0" fontId="0" fillId="0" borderId="0" xfId="0"/>
    <xf numFmtId="0" fontId="2" fillId="0" borderId="1" xfId="0" applyFont="1" applyBorder="1" applyAlignment="1">
      <alignment horizontal="center"/>
    </xf>
    <xf numFmtId="0" fontId="5" fillId="0" borderId="0" xfId="0" applyFont="1"/>
    <xf numFmtId="0" fontId="0" fillId="0" borderId="0" xfId="0" applyAlignment="1">
      <alignment vertical="center"/>
    </xf>
    <xf numFmtId="0" fontId="0" fillId="0" borderId="1" xfId="0" applyBorder="1" applyAlignment="1">
      <alignment vertical="center"/>
    </xf>
    <xf numFmtId="0" fontId="1" fillId="6" borderId="1" xfId="0" applyFont="1" applyFill="1" applyBorder="1" applyAlignment="1">
      <alignment horizontal="center" vertical="center"/>
    </xf>
    <xf numFmtId="0" fontId="4" fillId="0" borderId="1" xfId="0" applyFont="1" applyBorder="1" applyAlignment="1">
      <alignment vertical="center"/>
    </xf>
    <xf numFmtId="0" fontId="4" fillId="7" borderId="1" xfId="0" applyFont="1" applyFill="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center" vertical="center"/>
    </xf>
    <xf numFmtId="0" fontId="5" fillId="0" borderId="1" xfId="0" applyFont="1" applyBorder="1" applyAlignment="1">
      <alignment horizontal="center" vertical="center"/>
    </xf>
    <xf numFmtId="0" fontId="0" fillId="8" borderId="1" xfId="0" applyFill="1" applyBorder="1" applyAlignment="1">
      <alignment horizontal="center" vertical="center"/>
    </xf>
    <xf numFmtId="0" fontId="0" fillId="7" borderId="1" xfId="0" applyFill="1" applyBorder="1" applyAlignment="1">
      <alignment horizontal="center" vertical="center"/>
    </xf>
    <xf numFmtId="0" fontId="2" fillId="0" borderId="0" xfId="0" applyFont="1" applyAlignment="1">
      <alignment horizontal="center" vertical="center"/>
    </xf>
    <xf numFmtId="0" fontId="4" fillId="0" borderId="1" xfId="0" applyFont="1" applyBorder="1" applyAlignment="1">
      <alignment horizontal="center" vertical="center"/>
    </xf>
    <xf numFmtId="0" fontId="1" fillId="14" borderId="1" xfId="0" applyFont="1" applyFill="1" applyBorder="1" applyAlignment="1">
      <alignment horizontal="center" vertical="center"/>
    </xf>
    <xf numFmtId="0" fontId="2" fillId="8" borderId="1" xfId="0" applyFont="1" applyFill="1" applyBorder="1" applyAlignment="1">
      <alignment horizontal="center" textRotation="90"/>
    </xf>
    <xf numFmtId="0" fontId="2" fillId="0" borderId="1" xfId="0" applyFont="1" applyBorder="1" applyAlignment="1">
      <alignment horizontal="center" textRotation="90"/>
    </xf>
    <xf numFmtId="0" fontId="2" fillId="0" borderId="0" xfId="0" applyFont="1"/>
    <xf numFmtId="0" fontId="2" fillId="0" borderId="1" xfId="0" applyFont="1" applyBorder="1" applyAlignment="1">
      <alignment horizontal="center" vertical="center"/>
    </xf>
    <xf numFmtId="0" fontId="4" fillId="7" borderId="1" xfId="0" applyFont="1" applyFill="1" applyBorder="1" applyAlignment="1">
      <alignment vertical="center"/>
    </xf>
    <xf numFmtId="0" fontId="0" fillId="0" borderId="1" xfId="0" applyBorder="1" applyAlignment="1">
      <alignment vertical="center" wrapText="1"/>
    </xf>
    <xf numFmtId="0" fontId="0" fillId="7" borderId="3" xfId="0" applyFill="1" applyBorder="1" applyAlignment="1">
      <alignment horizontal="center" vertical="center"/>
    </xf>
    <xf numFmtId="0" fontId="0" fillId="8" borderId="3" xfId="0" applyFill="1" applyBorder="1" applyAlignment="1">
      <alignment horizontal="center" vertical="center"/>
    </xf>
    <xf numFmtId="0" fontId="0" fillId="7" borderId="8" xfId="0" applyFill="1" applyBorder="1" applyAlignment="1">
      <alignment horizontal="center" vertical="center"/>
    </xf>
    <xf numFmtId="0" fontId="0" fillId="8" borderId="4" xfId="0" applyFill="1" applyBorder="1" applyAlignment="1">
      <alignment horizontal="center" vertical="center"/>
    </xf>
    <xf numFmtId="44" fontId="2" fillId="0" borderId="0" xfId="1" applyFont="1"/>
    <xf numFmtId="44" fontId="4" fillId="0" borderId="1" xfId="1" applyFont="1" applyBorder="1" applyAlignment="1">
      <alignment horizontal="center" vertical="center"/>
    </xf>
    <xf numFmtId="44" fontId="4" fillId="0" borderId="0" xfId="1" applyFont="1" applyBorder="1" applyAlignment="1">
      <alignment horizontal="center" vertical="center"/>
    </xf>
    <xf numFmtId="44" fontId="2" fillId="0" borderId="0" xfId="1" applyFont="1" applyAlignment="1">
      <alignment vertical="center"/>
    </xf>
    <xf numFmtId="44" fontId="4" fillId="7" borderId="1" xfId="1" applyFont="1" applyFill="1" applyBorder="1" applyAlignment="1">
      <alignment horizontal="center" vertical="center"/>
    </xf>
    <xf numFmtId="0" fontId="7" fillId="0" borderId="0" xfId="0" applyFont="1" applyAlignment="1">
      <alignment horizontal="center"/>
    </xf>
    <xf numFmtId="0" fontId="7" fillId="0" borderId="1" xfId="0" applyFont="1" applyBorder="1" applyAlignment="1">
      <alignment horizontal="center" vertical="center"/>
    </xf>
    <xf numFmtId="0" fontId="7" fillId="0" borderId="0" xfId="0" applyFont="1" applyAlignment="1">
      <alignment horizontal="center" vertical="center"/>
    </xf>
    <xf numFmtId="44" fontId="0" fillId="0" borderId="0" xfId="1" applyFont="1"/>
    <xf numFmtId="44" fontId="0" fillId="0" borderId="0" xfId="1" applyFont="1" applyAlignment="1">
      <alignment horizontal="center"/>
    </xf>
    <xf numFmtId="0" fontId="0" fillId="0" borderId="0" xfId="0" applyAlignment="1">
      <alignment horizontal="left" vertical="center"/>
    </xf>
    <xf numFmtId="0" fontId="0" fillId="0" borderId="0" xfId="0" applyAlignment="1">
      <alignment horizontal="left"/>
    </xf>
    <xf numFmtId="44" fontId="0" fillId="0" borderId="0" xfId="1" applyFont="1" applyAlignment="1">
      <alignment horizontal="center" vertical="center"/>
    </xf>
    <xf numFmtId="0" fontId="2" fillId="11" borderId="1" xfId="0" applyFont="1" applyFill="1" applyBorder="1" applyAlignment="1">
      <alignment horizontal="left" vertical="center" wrapText="1"/>
    </xf>
    <xf numFmtId="0" fontId="0" fillId="0" borderId="0" xfId="0" applyAlignment="1">
      <alignment horizontal="right" vertical="center"/>
    </xf>
    <xf numFmtId="0" fontId="0" fillId="0" borderId="0" xfId="0" applyAlignment="1">
      <alignment horizontal="right"/>
    </xf>
    <xf numFmtId="44" fontId="8" fillId="7" borderId="0" xfId="1" applyFont="1" applyFill="1" applyAlignment="1">
      <alignment horizontal="center"/>
    </xf>
    <xf numFmtId="0" fontId="2" fillId="0" borderId="0" xfId="0" applyFont="1" applyAlignment="1">
      <alignment horizontal="right"/>
    </xf>
    <xf numFmtId="0" fontId="9" fillId="0" borderId="0" xfId="0" applyFont="1"/>
    <xf numFmtId="44" fontId="8" fillId="0" borderId="0" xfId="1" applyFont="1"/>
    <xf numFmtId="0" fontId="8" fillId="0" borderId="0" xfId="0" applyFont="1" applyAlignment="1">
      <alignment horizontal="center"/>
    </xf>
    <xf numFmtId="44" fontId="0" fillId="0" borderId="0" xfId="0" applyNumberFormat="1"/>
    <xf numFmtId="0" fontId="0" fillId="0" borderId="1" xfId="0" applyBorder="1" applyAlignment="1">
      <alignment horizontal="center"/>
    </xf>
    <xf numFmtId="0" fontId="1" fillId="6" borderId="9" xfId="0" applyFont="1" applyFill="1" applyBorder="1" applyAlignment="1">
      <alignment horizontal="center"/>
    </xf>
    <xf numFmtId="0" fontId="1" fillId="6" borderId="10" xfId="0" applyFont="1" applyFill="1" applyBorder="1" applyAlignment="1">
      <alignment horizontal="center"/>
    </xf>
    <xf numFmtId="44" fontId="1" fillId="6" borderId="10" xfId="1" applyFont="1" applyFill="1" applyBorder="1" applyAlignment="1">
      <alignment horizontal="center"/>
    </xf>
    <xf numFmtId="44" fontId="0" fillId="0" borderId="1" xfId="1" applyFont="1" applyBorder="1"/>
    <xf numFmtId="2" fontId="0" fillId="0" borderId="1" xfId="0" applyNumberFormat="1" applyBorder="1" applyAlignment="1">
      <alignment horizontal="center"/>
    </xf>
    <xf numFmtId="9" fontId="0" fillId="0" borderId="1" xfId="2" applyFont="1" applyBorder="1" applyAlignment="1">
      <alignment horizontal="center"/>
    </xf>
    <xf numFmtId="44" fontId="8" fillId="7" borderId="13" xfId="0" applyNumberFormat="1" applyFont="1" applyFill="1" applyBorder="1"/>
    <xf numFmtId="0" fontId="11" fillId="0" borderId="0" xfId="0" applyFont="1" applyAlignment="1">
      <alignment horizontal="right"/>
    </xf>
    <xf numFmtId="9" fontId="2" fillId="0" borderId="0" xfId="2" applyFont="1" applyAlignment="1">
      <alignment horizontal="center"/>
    </xf>
    <xf numFmtId="0" fontId="2" fillId="0" borderId="1" xfId="0" applyFont="1" applyBorder="1" applyAlignment="1">
      <alignment horizontal="center" wrapText="1"/>
    </xf>
    <xf numFmtId="0" fontId="4" fillId="18" borderId="1" xfId="0" applyFont="1" applyFill="1" applyBorder="1" applyAlignment="1">
      <alignment vertical="center"/>
    </xf>
    <xf numFmtId="0" fontId="4" fillId="18" borderId="8" xfId="0" applyFont="1" applyFill="1" applyBorder="1" applyAlignment="1">
      <alignment vertical="center"/>
    </xf>
    <xf numFmtId="0" fontId="0" fillId="0" borderId="8" xfId="0" applyBorder="1" applyAlignment="1">
      <alignment horizontal="center" vertical="center"/>
    </xf>
    <xf numFmtId="0" fontId="0" fillId="0" borderId="7" xfId="0" applyBorder="1" applyAlignment="1">
      <alignment vertical="center"/>
    </xf>
    <xf numFmtId="0" fontId="4" fillId="0" borderId="20" xfId="0" applyFont="1" applyBorder="1" applyAlignment="1">
      <alignment vertical="center"/>
    </xf>
    <xf numFmtId="0" fontId="0" fillId="0" borderId="20" xfId="0" applyBorder="1" applyAlignment="1">
      <alignment vertical="center"/>
    </xf>
    <xf numFmtId="0" fontId="4" fillId="7" borderId="20" xfId="0" applyFont="1" applyFill="1" applyBorder="1" applyAlignment="1">
      <alignment vertical="center"/>
    </xf>
    <xf numFmtId="0" fontId="0" fillId="0" borderId="22" xfId="0" applyBorder="1" applyAlignment="1">
      <alignment horizontal="center" vertical="center" wrapText="1"/>
    </xf>
    <xf numFmtId="0" fontId="4" fillId="7" borderId="22" xfId="0" applyFont="1" applyFill="1" applyBorder="1" applyAlignment="1">
      <alignment horizontal="center" vertical="center"/>
    </xf>
    <xf numFmtId="0" fontId="4" fillId="7" borderId="23"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8" xfId="0" applyFont="1" applyFill="1" applyBorder="1" applyAlignment="1">
      <alignment horizontal="center" vertical="center"/>
    </xf>
    <xf numFmtId="0" fontId="0" fillId="0" borderId="19" xfId="0" applyBorder="1" applyAlignment="1">
      <alignment horizontal="center" vertical="center"/>
    </xf>
    <xf numFmtId="0" fontId="4" fillId="7" borderId="20" xfId="0" applyFont="1" applyFill="1" applyBorder="1" applyAlignment="1">
      <alignment horizontal="center" vertical="center"/>
    </xf>
    <xf numFmtId="0" fontId="0" fillId="0" borderId="21" xfId="0" applyBorder="1" applyAlignment="1">
      <alignment horizontal="center" vertical="center"/>
    </xf>
    <xf numFmtId="0" fontId="4" fillId="7" borderId="24" xfId="0" applyFont="1" applyFill="1" applyBorder="1" applyAlignment="1">
      <alignment horizontal="center" vertical="center"/>
    </xf>
    <xf numFmtId="0" fontId="4" fillId="7" borderId="25" xfId="0" applyFont="1" applyFill="1" applyBorder="1" applyAlignment="1">
      <alignment horizontal="center" vertical="center"/>
    </xf>
    <xf numFmtId="0" fontId="4" fillId="0" borderId="7" xfId="0" applyFont="1" applyBorder="1" applyAlignment="1">
      <alignment vertical="center"/>
    </xf>
    <xf numFmtId="0" fontId="4" fillId="7" borderId="7" xfId="0" applyFont="1" applyFill="1" applyBorder="1" applyAlignment="1">
      <alignment vertical="center"/>
    </xf>
    <xf numFmtId="0" fontId="0" fillId="0" borderId="7" xfId="0" applyBorder="1" applyAlignment="1">
      <alignment vertical="center" wrapText="1"/>
    </xf>
    <xf numFmtId="0" fontId="0" fillId="0" borderId="27" xfId="0" applyBorder="1" applyAlignment="1">
      <alignment horizontal="center" vertical="center" wrapText="1"/>
    </xf>
    <xf numFmtId="0" fontId="4" fillId="0" borderId="29" xfId="0" applyFont="1" applyBorder="1" applyAlignment="1">
      <alignment vertical="center"/>
    </xf>
    <xf numFmtId="0" fontId="0" fillId="0" borderId="29" xfId="0" applyBorder="1" applyAlignment="1">
      <alignment vertical="center"/>
    </xf>
    <xf numFmtId="0" fontId="0" fillId="0" borderId="29" xfId="0" applyBorder="1" applyAlignment="1">
      <alignment vertical="center" wrapText="1"/>
    </xf>
    <xf numFmtId="0" fontId="0" fillId="0" borderId="30" xfId="0" applyBorder="1" applyAlignment="1">
      <alignment horizontal="center" vertical="center" wrapText="1"/>
    </xf>
    <xf numFmtId="0" fontId="4" fillId="7" borderId="26" xfId="0" applyFont="1" applyFill="1" applyBorder="1" applyAlignment="1">
      <alignment horizontal="center" vertical="center"/>
    </xf>
    <xf numFmtId="0" fontId="4" fillId="7" borderId="7" xfId="0" applyFont="1" applyFill="1" applyBorder="1" applyAlignment="1">
      <alignment horizontal="center" vertical="center"/>
    </xf>
    <xf numFmtId="0" fontId="4" fillId="7" borderId="27" xfId="0" applyFont="1" applyFill="1" applyBorder="1" applyAlignment="1">
      <alignment horizontal="center" vertical="center"/>
    </xf>
    <xf numFmtId="0" fontId="4" fillId="7" borderId="31" xfId="0" applyFont="1" applyFill="1" applyBorder="1" applyAlignment="1">
      <alignment horizontal="center" vertical="center"/>
    </xf>
    <xf numFmtId="0" fontId="0" fillId="7" borderId="13" xfId="0" applyFill="1" applyBorder="1" applyAlignment="1">
      <alignment horizontal="center" vertical="center"/>
    </xf>
    <xf numFmtId="0" fontId="0" fillId="3" borderId="13" xfId="0" applyFill="1" applyBorder="1" applyAlignment="1">
      <alignment horizontal="center" vertical="center"/>
    </xf>
    <xf numFmtId="0" fontId="0" fillId="3" borderId="28" xfId="0" applyFill="1" applyBorder="1" applyAlignment="1">
      <alignment horizontal="center" vertical="center"/>
    </xf>
    <xf numFmtId="0" fontId="0" fillId="3" borderId="30" xfId="0" applyFill="1" applyBorder="1" applyAlignment="1">
      <alignment horizontal="center" vertical="center"/>
    </xf>
    <xf numFmtId="0" fontId="0" fillId="3" borderId="29" xfId="0" applyFill="1" applyBorder="1" applyAlignment="1">
      <alignment horizontal="center" vertical="center"/>
    </xf>
    <xf numFmtId="0" fontId="16" fillId="19" borderId="1" xfId="0" applyFont="1" applyFill="1" applyBorder="1" applyAlignment="1">
      <alignment horizontal="center" vertical="center"/>
    </xf>
    <xf numFmtId="0" fontId="2" fillId="8" borderId="7" xfId="0" applyFont="1" applyFill="1" applyBorder="1" applyAlignment="1">
      <alignment horizontal="center" textRotation="90"/>
    </xf>
    <xf numFmtId="0" fontId="0" fillId="8" borderId="7" xfId="0" applyFill="1" applyBorder="1" applyAlignment="1">
      <alignment horizontal="center" vertical="center"/>
    </xf>
    <xf numFmtId="0" fontId="0" fillId="3" borderId="7" xfId="0" applyFill="1" applyBorder="1" applyAlignment="1">
      <alignment horizontal="center" vertical="center"/>
    </xf>
    <xf numFmtId="0" fontId="0" fillId="0" borderId="7" xfId="0" applyBorder="1" applyAlignment="1">
      <alignment horizontal="center" vertical="center"/>
    </xf>
    <xf numFmtId="0" fontId="0" fillId="0" borderId="32" xfId="0" applyBorder="1" applyAlignment="1">
      <alignment vertical="center"/>
    </xf>
    <xf numFmtId="0" fontId="10" fillId="0" borderId="32" xfId="0" applyFont="1" applyBorder="1" applyAlignment="1">
      <alignment vertical="center"/>
    </xf>
    <xf numFmtId="0" fontId="10" fillId="0" borderId="8" xfId="0" applyFont="1" applyBorder="1" applyAlignment="1">
      <alignment vertical="center"/>
    </xf>
    <xf numFmtId="0" fontId="16" fillId="19" borderId="12" xfId="0" applyFont="1" applyFill="1" applyBorder="1" applyAlignment="1">
      <alignment horizontal="center" vertical="center"/>
    </xf>
    <xf numFmtId="0" fontId="4" fillId="0" borderId="20" xfId="0" applyFont="1" applyBorder="1" applyAlignment="1">
      <alignment horizontal="center" vertical="center"/>
    </xf>
    <xf numFmtId="0" fontId="4" fillId="0" borderId="23" xfId="0" applyFont="1" applyBorder="1" applyAlignment="1">
      <alignment horizontal="center" vertical="center"/>
    </xf>
    <xf numFmtId="0" fontId="4" fillId="0" borderId="33" xfId="0" applyFont="1" applyBorder="1" applyAlignment="1">
      <alignment horizontal="center" vertical="center"/>
    </xf>
    <xf numFmtId="0" fontId="0" fillId="0" borderId="14" xfId="0" applyBorder="1" applyAlignment="1">
      <alignment vertical="center"/>
    </xf>
    <xf numFmtId="0" fontId="0" fillId="0" borderId="15" xfId="0" applyBorder="1" applyAlignment="1">
      <alignment vertical="center"/>
    </xf>
    <xf numFmtId="0" fontId="4" fillId="0" borderId="8" xfId="0" applyFont="1" applyBorder="1" applyAlignment="1">
      <alignment vertical="center"/>
    </xf>
    <xf numFmtId="0" fontId="2" fillId="9" borderId="8" xfId="0" applyFont="1" applyFill="1" applyBorder="1" applyAlignment="1">
      <alignment vertical="center"/>
    </xf>
    <xf numFmtId="0" fontId="2" fillId="2" borderId="8" xfId="0" applyFont="1" applyFill="1" applyBorder="1" applyAlignment="1">
      <alignment vertical="center" wrapText="1"/>
    </xf>
    <xf numFmtId="0" fontId="4" fillId="10" borderId="8" xfId="0" applyFont="1" applyFill="1" applyBorder="1" applyAlignment="1">
      <alignment vertical="center" wrapText="1"/>
    </xf>
    <xf numFmtId="0" fontId="4" fillId="4" borderId="8" xfId="0" applyFont="1" applyFill="1" applyBorder="1" applyAlignment="1">
      <alignment vertical="center"/>
    </xf>
    <xf numFmtId="0" fontId="4" fillId="10" borderId="8" xfId="0" applyFont="1" applyFill="1" applyBorder="1" applyAlignment="1">
      <alignment vertical="center"/>
    </xf>
    <xf numFmtId="0" fontId="4" fillId="2" borderId="8" xfId="0" applyFont="1" applyFill="1" applyBorder="1" applyAlignment="1">
      <alignment vertical="center" wrapText="1"/>
    </xf>
    <xf numFmtId="0" fontId="2" fillId="2" borderId="8" xfId="0" applyFont="1" applyFill="1" applyBorder="1" applyAlignment="1">
      <alignment vertical="center"/>
    </xf>
    <xf numFmtId="0" fontId="4" fillId="2" borderId="8" xfId="0" applyFont="1" applyFill="1" applyBorder="1" applyAlignment="1">
      <alignment vertical="center"/>
    </xf>
    <xf numFmtId="0" fontId="2" fillId="11" borderId="8" xfId="0" applyFont="1" applyFill="1" applyBorder="1" applyAlignment="1">
      <alignment vertical="center"/>
    </xf>
    <xf numFmtId="0" fontId="2" fillId="11" borderId="8" xfId="0" applyFont="1" applyFill="1" applyBorder="1" applyAlignment="1">
      <alignment vertical="center" wrapText="1"/>
    </xf>
    <xf numFmtId="0" fontId="2" fillId="13" borderId="8" xfId="0" applyFont="1" applyFill="1" applyBorder="1" applyAlignment="1">
      <alignment horizontal="center" vertical="center"/>
    </xf>
    <xf numFmtId="0" fontId="2" fillId="15" borderId="8" xfId="0" applyFont="1" applyFill="1" applyBorder="1" applyAlignment="1">
      <alignment horizontal="center" vertical="center"/>
    </xf>
    <xf numFmtId="0" fontId="2" fillId="3" borderId="8" xfId="0" applyFont="1" applyFill="1" applyBorder="1" applyAlignment="1">
      <alignment horizontal="center" vertical="center"/>
    </xf>
    <xf numFmtId="0" fontId="1" fillId="5" borderId="8" xfId="0" applyFont="1" applyFill="1" applyBorder="1" applyAlignment="1">
      <alignment horizontal="center" vertical="center"/>
    </xf>
    <xf numFmtId="0" fontId="4" fillId="18" borderId="19" xfId="0" applyFont="1" applyFill="1" applyBorder="1" applyAlignment="1">
      <alignment vertical="center"/>
    </xf>
    <xf numFmtId="0" fontId="1" fillId="14" borderId="19" xfId="0" applyFont="1" applyFill="1" applyBorder="1" applyAlignment="1">
      <alignment horizontal="center" vertical="center"/>
    </xf>
    <xf numFmtId="0" fontId="4" fillId="7" borderId="19" xfId="0" applyFont="1" applyFill="1" applyBorder="1" applyAlignment="1">
      <alignment horizontal="center" vertical="center"/>
    </xf>
    <xf numFmtId="0" fontId="0" fillId="0" borderId="36" xfId="0" applyBorder="1" applyAlignment="1">
      <alignment horizontal="center" vertical="center"/>
    </xf>
    <xf numFmtId="0" fontId="4" fillId="18" borderId="21" xfId="0" applyFont="1" applyFill="1" applyBorder="1" applyAlignment="1">
      <alignment vertical="center"/>
    </xf>
    <xf numFmtId="0" fontId="4" fillId="18" borderId="22" xfId="0" applyFont="1" applyFill="1" applyBorder="1" applyAlignment="1">
      <alignment vertical="center"/>
    </xf>
    <xf numFmtId="0" fontId="10" fillId="0" borderId="37" xfId="0" applyFont="1" applyBorder="1" applyAlignment="1">
      <alignment vertical="center"/>
    </xf>
    <xf numFmtId="0" fontId="4" fillId="0" borderId="38" xfId="0" applyFont="1" applyBorder="1" applyAlignment="1">
      <alignment horizontal="center" vertical="center"/>
    </xf>
    <xf numFmtId="0" fontId="1" fillId="14" borderId="39" xfId="0" applyFont="1" applyFill="1" applyBorder="1" applyAlignment="1">
      <alignment horizontal="center"/>
    </xf>
    <xf numFmtId="0" fontId="1" fillId="14" borderId="40" xfId="0" applyFont="1" applyFill="1" applyBorder="1" applyAlignment="1">
      <alignment horizontal="center"/>
    </xf>
    <xf numFmtId="0" fontId="1" fillId="14" borderId="40" xfId="0" applyFont="1" applyFill="1" applyBorder="1" applyAlignment="1">
      <alignment horizontal="center" wrapText="1"/>
    </xf>
    <xf numFmtId="0" fontId="1" fillId="14" borderId="41" xfId="0" applyFont="1" applyFill="1" applyBorder="1" applyAlignment="1">
      <alignment horizontal="center"/>
    </xf>
    <xf numFmtId="0" fontId="1" fillId="14" borderId="11" xfId="0" applyFont="1" applyFill="1" applyBorder="1" applyAlignment="1">
      <alignment horizontal="center" textRotation="90"/>
    </xf>
    <xf numFmtId="0" fontId="1" fillId="14" borderId="42" xfId="0" applyFont="1" applyFill="1" applyBorder="1" applyAlignment="1">
      <alignment horizontal="center" textRotation="90"/>
    </xf>
    <xf numFmtId="0" fontId="1" fillId="14" borderId="40" xfId="0" applyFont="1" applyFill="1" applyBorder="1" applyAlignment="1">
      <alignment horizontal="center" textRotation="90"/>
    </xf>
    <xf numFmtId="0" fontId="1" fillId="14" borderId="43" xfId="0" applyFont="1" applyFill="1" applyBorder="1" applyAlignment="1">
      <alignment horizontal="center" textRotation="90"/>
    </xf>
    <xf numFmtId="0" fontId="1" fillId="14" borderId="44" xfId="0" applyFont="1" applyFill="1" applyBorder="1" applyAlignment="1">
      <alignment horizontal="center"/>
    </xf>
    <xf numFmtId="0" fontId="1" fillId="14" borderId="45" xfId="0" applyFont="1" applyFill="1" applyBorder="1" applyAlignment="1">
      <alignment horizontal="center" wrapText="1"/>
    </xf>
    <xf numFmtId="0" fontId="1" fillId="14" borderId="44" xfId="0" applyFont="1" applyFill="1" applyBorder="1" applyAlignment="1">
      <alignment horizontal="center" wrapText="1"/>
    </xf>
    <xf numFmtId="0" fontId="1" fillId="14" borderId="46" xfId="0" applyFont="1" applyFill="1" applyBorder="1" applyAlignment="1">
      <alignment horizontal="center" wrapText="1"/>
    </xf>
    <xf numFmtId="0" fontId="0" fillId="0" borderId="45" xfId="0" applyBorder="1" applyAlignment="1">
      <alignment vertical="center"/>
    </xf>
    <xf numFmtId="0" fontId="4" fillId="3" borderId="34" xfId="0" applyFont="1" applyFill="1" applyBorder="1" applyAlignment="1">
      <alignment vertical="center"/>
    </xf>
    <xf numFmtId="0" fontId="4" fillId="18" borderId="16" xfId="0" applyFont="1" applyFill="1" applyBorder="1" applyAlignment="1">
      <alignment vertical="center"/>
    </xf>
    <xf numFmtId="0" fontId="4" fillId="18" borderId="17" xfId="0" applyFont="1" applyFill="1" applyBorder="1" applyAlignment="1">
      <alignment vertical="center"/>
    </xf>
    <xf numFmtId="0" fontId="4" fillId="0" borderId="34" xfId="0" applyFont="1" applyBorder="1" applyAlignment="1">
      <alignment horizontal="center" vertical="center"/>
    </xf>
    <xf numFmtId="0" fontId="4" fillId="7" borderId="28" xfId="0" applyFont="1" applyFill="1" applyBorder="1" applyAlignment="1">
      <alignment vertical="center"/>
    </xf>
    <xf numFmtId="0" fontId="4" fillId="0" borderId="26" xfId="0" applyFont="1" applyBorder="1" applyAlignment="1">
      <alignment vertical="center"/>
    </xf>
    <xf numFmtId="0" fontId="4" fillId="0" borderId="17" xfId="0" applyFont="1" applyBorder="1" applyAlignment="1">
      <alignment vertical="center"/>
    </xf>
    <xf numFmtId="0" fontId="4" fillId="0" borderId="18" xfId="0" applyFont="1" applyBorder="1" applyAlignment="1">
      <alignment vertical="center"/>
    </xf>
    <xf numFmtId="0" fontId="3" fillId="0" borderId="35" xfId="0" applyFont="1" applyBorder="1" applyAlignment="1">
      <alignment vertical="center"/>
    </xf>
    <xf numFmtId="0" fontId="3" fillId="0" borderId="16" xfId="0" applyFont="1" applyBorder="1" applyAlignment="1">
      <alignment horizontal="center" vertical="center"/>
    </xf>
    <xf numFmtId="0" fontId="4" fillId="0" borderId="18" xfId="0" applyFont="1" applyBorder="1" applyAlignment="1">
      <alignment horizontal="center" vertical="center"/>
    </xf>
    <xf numFmtId="0" fontId="3" fillId="0" borderId="26" xfId="0" applyFont="1" applyBorder="1" applyAlignment="1">
      <alignment horizontal="center" vertical="center"/>
    </xf>
    <xf numFmtId="0" fontId="0" fillId="0" borderId="36" xfId="0" applyBorder="1" applyAlignment="1">
      <alignment vertical="center"/>
    </xf>
    <xf numFmtId="0" fontId="17" fillId="11" borderId="8" xfId="0" applyFont="1" applyFill="1" applyBorder="1" applyAlignment="1">
      <alignment horizontal="left" vertical="center" wrapText="1"/>
    </xf>
    <xf numFmtId="0" fontId="17" fillId="12" borderId="37" xfId="0" applyFont="1" applyFill="1" applyBorder="1" applyAlignment="1">
      <alignment horizontal="left" vertical="center" wrapText="1"/>
    </xf>
    <xf numFmtId="0" fontId="18" fillId="0" borderId="0" xfId="0" applyFont="1" applyAlignment="1">
      <alignment horizontal="center" wrapText="1"/>
    </xf>
    <xf numFmtId="0" fontId="4" fillId="0" borderId="34" xfId="0" applyFont="1" applyBorder="1" applyAlignment="1">
      <alignment vertical="center"/>
    </xf>
    <xf numFmtId="0" fontId="0" fillId="0" borderId="8" xfId="0" applyBorder="1" applyAlignment="1">
      <alignment vertical="center"/>
    </xf>
    <xf numFmtId="0" fontId="2" fillId="0" borderId="1" xfId="0" applyFont="1" applyBorder="1"/>
    <xf numFmtId="9" fontId="2" fillId="0" borderId="1" xfId="2" applyFont="1" applyBorder="1" applyAlignment="1">
      <alignment horizontal="center"/>
    </xf>
    <xf numFmtId="9" fontId="1" fillId="6" borderId="1" xfId="2" applyFont="1" applyFill="1" applyBorder="1" applyAlignment="1">
      <alignment horizontal="center" vertical="center"/>
    </xf>
    <xf numFmtId="0" fontId="1" fillId="14" borderId="41" xfId="0" applyFont="1" applyFill="1" applyBorder="1" applyAlignment="1">
      <alignment horizontal="center" textRotation="90"/>
    </xf>
    <xf numFmtId="0" fontId="4" fillId="7" borderId="8" xfId="0" applyFont="1" applyFill="1" applyBorder="1" applyAlignment="1">
      <alignment vertical="center"/>
    </xf>
    <xf numFmtId="0" fontId="4" fillId="7" borderId="37" xfId="0" applyFont="1" applyFill="1" applyBorder="1" applyAlignment="1">
      <alignment horizontal="center" vertical="center"/>
    </xf>
    <xf numFmtId="0" fontId="4" fillId="7" borderId="34" xfId="0" applyFont="1" applyFill="1" applyBorder="1" applyAlignment="1">
      <alignment horizontal="center" vertical="center"/>
    </xf>
    <xf numFmtId="0" fontId="4" fillId="7" borderId="8" xfId="0" applyFont="1" applyFill="1" applyBorder="1" applyAlignment="1">
      <alignment horizontal="center" vertical="center"/>
    </xf>
    <xf numFmtId="0" fontId="4" fillId="7" borderId="47" xfId="0" applyFont="1" applyFill="1" applyBorder="1" applyAlignment="1">
      <alignment horizontal="center" vertical="center"/>
    </xf>
    <xf numFmtId="0" fontId="1" fillId="14" borderId="1" xfId="0" applyFont="1" applyFill="1" applyBorder="1" applyAlignment="1">
      <alignment horizontal="center" textRotation="90" wrapText="1"/>
    </xf>
    <xf numFmtId="0" fontId="2" fillId="0" borderId="1" xfId="0" applyFont="1" applyBorder="1" applyAlignment="1">
      <alignment horizontal="right"/>
    </xf>
    <xf numFmtId="0" fontId="0" fillId="0" borderId="1" xfId="0" applyBorder="1"/>
    <xf numFmtId="44" fontId="2" fillId="0" borderId="1" xfId="1" applyFont="1" applyBorder="1"/>
    <xf numFmtId="44" fontId="1" fillId="20" borderId="1" xfId="1" applyFont="1" applyFill="1" applyBorder="1" applyAlignment="1">
      <alignment horizontal="center"/>
    </xf>
    <xf numFmtId="0" fontId="2" fillId="12" borderId="1" xfId="0" applyFont="1" applyFill="1" applyBorder="1" applyAlignment="1">
      <alignment horizontal="left" vertical="center" wrapText="1"/>
    </xf>
    <xf numFmtId="44" fontId="2" fillId="0" borderId="0" xfId="1" applyFont="1" applyAlignment="1">
      <alignment horizontal="right"/>
    </xf>
    <xf numFmtId="0" fontId="0" fillId="0" borderId="1" xfId="0" applyBorder="1" applyAlignment="1">
      <alignment horizontal="left" vertical="center"/>
    </xf>
    <xf numFmtId="44" fontId="0" fillId="0" borderId="1" xfId="1" applyFont="1" applyBorder="1" applyAlignment="1">
      <alignment horizontal="center" vertical="center"/>
    </xf>
    <xf numFmtId="0" fontId="1" fillId="14" borderId="3" xfId="0" applyFont="1" applyFill="1" applyBorder="1" applyAlignment="1">
      <alignment horizontal="center"/>
    </xf>
    <xf numFmtId="0" fontId="1" fillId="14" borderId="3" xfId="0" applyFont="1" applyFill="1" applyBorder="1" applyAlignment="1">
      <alignment horizontal="center" textRotation="90"/>
    </xf>
    <xf numFmtId="44" fontId="1" fillId="14" borderId="3" xfId="1" applyFont="1" applyFill="1" applyBorder="1" applyAlignment="1">
      <alignment horizontal="center" wrapText="1"/>
    </xf>
    <xf numFmtId="0" fontId="2" fillId="8" borderId="3" xfId="0" applyFont="1" applyFill="1" applyBorder="1" applyAlignment="1">
      <alignment horizontal="center" textRotation="90"/>
    </xf>
    <xf numFmtId="0" fontId="2" fillId="0" borderId="3" xfId="0" applyFont="1" applyBorder="1" applyAlignment="1">
      <alignment horizontal="center" textRotation="90"/>
    </xf>
    <xf numFmtId="44" fontId="1" fillId="14" borderId="3" xfId="1" applyFont="1" applyFill="1" applyBorder="1" applyAlignment="1">
      <alignment horizontal="center" textRotation="90" wrapText="1"/>
    </xf>
    <xf numFmtId="0" fontId="0" fillId="16" borderId="1" xfId="0" applyFill="1" applyBorder="1" applyAlignment="1">
      <alignment horizontal="left" vertical="center"/>
    </xf>
    <xf numFmtId="0" fontId="0" fillId="11" borderId="1" xfId="0" applyFill="1" applyBorder="1" applyAlignment="1">
      <alignment horizontal="left" vertical="center"/>
    </xf>
    <xf numFmtId="0" fontId="0" fillId="15" borderId="1" xfId="0" applyFill="1" applyBorder="1" applyAlignment="1">
      <alignment horizontal="left" vertical="center"/>
    </xf>
    <xf numFmtId="0" fontId="0" fillId="11" borderId="1" xfId="0" applyFill="1"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horizontal="center" vertical="center"/>
    </xf>
    <xf numFmtId="44" fontId="0" fillId="8" borderId="8" xfId="1" applyFont="1" applyFill="1" applyBorder="1" applyAlignment="1">
      <alignment horizontal="center" vertical="center"/>
    </xf>
    <xf numFmtId="0" fontId="4" fillId="0" borderId="0" xfId="0" applyFont="1" applyAlignment="1">
      <alignment horizontal="center" wrapText="1"/>
    </xf>
    <xf numFmtId="0" fontId="4" fillId="3" borderId="1" xfId="0" applyFont="1" applyFill="1" applyBorder="1" applyAlignment="1">
      <alignment horizontal="left" vertical="center"/>
    </xf>
    <xf numFmtId="0" fontId="4" fillId="0" borderId="1" xfId="0" applyFont="1" applyBorder="1" applyAlignment="1">
      <alignment horizontal="left" vertical="center"/>
    </xf>
    <xf numFmtId="0" fontId="2" fillId="9" borderId="1" xfId="0" applyFont="1" applyFill="1" applyBorder="1" applyAlignment="1">
      <alignment horizontal="left" vertical="center"/>
    </xf>
    <xf numFmtId="0" fontId="2" fillId="0" borderId="0" xfId="0" applyFont="1" applyAlignment="1">
      <alignment horizontal="left" vertical="center"/>
    </xf>
    <xf numFmtId="0" fontId="2" fillId="13" borderId="1" xfId="0" applyFont="1" applyFill="1" applyBorder="1" applyAlignment="1">
      <alignment horizontal="left" vertical="center"/>
    </xf>
    <xf numFmtId="0" fontId="2" fillId="15" borderId="1" xfId="0" applyFont="1" applyFill="1" applyBorder="1" applyAlignment="1">
      <alignment horizontal="left" vertical="center"/>
    </xf>
    <xf numFmtId="0" fontId="2" fillId="3" borderId="1" xfId="0" applyFont="1" applyFill="1" applyBorder="1" applyAlignment="1">
      <alignment horizontal="left" vertical="center"/>
    </xf>
    <xf numFmtId="0" fontId="1" fillId="5" borderId="1" xfId="0" applyFont="1" applyFill="1" applyBorder="1" applyAlignment="1">
      <alignment horizontal="left" vertical="center"/>
    </xf>
    <xf numFmtId="0" fontId="0" fillId="0" borderId="5" xfId="0" applyBorder="1" applyAlignment="1">
      <alignment horizontal="center" vertical="center"/>
    </xf>
    <xf numFmtId="0" fontId="0" fillId="23" borderId="1" xfId="0" applyFill="1" applyBorder="1" applyAlignment="1">
      <alignment horizontal="center" vertical="center"/>
    </xf>
    <xf numFmtId="0" fontId="0" fillId="0" borderId="19" xfId="0" applyBorder="1" applyAlignment="1">
      <alignment horizontal="center"/>
    </xf>
    <xf numFmtId="44" fontId="2" fillId="8" borderId="20" xfId="1" applyFont="1" applyFill="1" applyBorder="1" applyAlignment="1">
      <alignment horizontal="center"/>
    </xf>
    <xf numFmtId="44" fontId="0" fillId="8" borderId="20" xfId="1" applyFont="1" applyFill="1" applyBorder="1" applyAlignment="1">
      <alignment horizontal="center" vertical="center"/>
    </xf>
    <xf numFmtId="44" fontId="0" fillId="7" borderId="20" xfId="1" applyFont="1" applyFill="1" applyBorder="1" applyAlignment="1">
      <alignment horizontal="center" vertical="center"/>
    </xf>
    <xf numFmtId="44" fontId="4" fillId="17" borderId="20" xfId="1" applyFont="1" applyFill="1" applyBorder="1" applyAlignment="1">
      <alignment horizontal="center" vertical="center"/>
    </xf>
    <xf numFmtId="0" fontId="0" fillId="22" borderId="20" xfId="0" applyFill="1" applyBorder="1" applyAlignment="1">
      <alignment vertical="center"/>
    </xf>
    <xf numFmtId="44" fontId="0" fillId="0" borderId="5" xfId="1" applyFont="1" applyBorder="1" applyAlignment="1">
      <alignment horizontal="center" vertical="center"/>
    </xf>
    <xf numFmtId="0" fontId="0" fillId="0" borderId="16" xfId="0" applyBorder="1" applyAlignment="1">
      <alignment horizontal="center" vertical="center"/>
    </xf>
    <xf numFmtId="44" fontId="0" fillId="2" borderId="18" xfId="1" applyFont="1" applyFill="1" applyBorder="1" applyAlignment="1">
      <alignment horizontal="center" vertical="center"/>
    </xf>
    <xf numFmtId="44" fontId="0" fillId="2" borderId="20" xfId="1" applyFont="1" applyFill="1" applyBorder="1" applyAlignment="1">
      <alignment horizontal="center" vertical="center"/>
    </xf>
    <xf numFmtId="44" fontId="0" fillId="2" borderId="23" xfId="1" applyFont="1" applyFill="1" applyBorder="1" applyAlignment="1">
      <alignment horizontal="center" vertical="center"/>
    </xf>
    <xf numFmtId="0" fontId="0" fillId="23" borderId="51" xfId="0" applyFill="1" applyBorder="1" applyAlignment="1">
      <alignment horizontal="center" vertical="center"/>
    </xf>
    <xf numFmtId="44" fontId="0" fillId="23" borderId="25" xfId="1" applyFont="1" applyFill="1" applyBorder="1"/>
    <xf numFmtId="0" fontId="0" fillId="0" borderId="51" xfId="0" applyBorder="1" applyAlignment="1">
      <alignment horizontal="center" vertical="center"/>
    </xf>
    <xf numFmtId="44" fontId="0" fillId="2" borderId="25" xfId="1" applyFont="1" applyFill="1" applyBorder="1" applyAlignment="1">
      <alignment horizontal="center" vertical="center"/>
    </xf>
    <xf numFmtId="44" fontId="8" fillId="7" borderId="25" xfId="1" applyFont="1" applyFill="1" applyBorder="1" applyAlignment="1">
      <alignment horizontal="center" vertical="center"/>
    </xf>
    <xf numFmtId="0" fontId="0" fillId="24" borderId="7" xfId="0" applyFill="1" applyBorder="1" applyAlignment="1">
      <alignment horizontal="center" vertical="center"/>
    </xf>
    <xf numFmtId="0" fontId="0" fillId="24" borderId="7" xfId="0" applyFill="1" applyBorder="1" applyAlignment="1">
      <alignment horizontal="center"/>
    </xf>
    <xf numFmtId="44" fontId="2" fillId="8" borderId="8" xfId="1" applyFont="1" applyFill="1" applyBorder="1" applyAlignment="1">
      <alignment horizontal="center"/>
    </xf>
    <xf numFmtId="44" fontId="0" fillId="7" borderId="8" xfId="1" applyFont="1" applyFill="1" applyBorder="1" applyAlignment="1">
      <alignment horizontal="center" vertical="center"/>
    </xf>
    <xf numFmtId="44" fontId="4" fillId="17" borderId="8" xfId="1" applyFont="1" applyFill="1" applyBorder="1" applyAlignment="1">
      <alignment horizontal="center" vertical="center"/>
    </xf>
    <xf numFmtId="0" fontId="0" fillId="22" borderId="8" xfId="0" applyFill="1" applyBorder="1" applyAlignment="1">
      <alignment vertical="center"/>
    </xf>
    <xf numFmtId="44" fontId="0" fillId="24" borderId="8" xfId="1" applyFont="1" applyFill="1" applyBorder="1"/>
    <xf numFmtId="0" fontId="0" fillId="24" borderId="19" xfId="0" applyFill="1" applyBorder="1" applyAlignment="1">
      <alignment horizontal="center" vertical="center"/>
    </xf>
    <xf numFmtId="44" fontId="0" fillId="24" borderId="20" xfId="1" applyFont="1" applyFill="1" applyBorder="1"/>
    <xf numFmtId="0" fontId="0" fillId="24" borderId="19" xfId="0" applyFill="1" applyBorder="1" applyAlignment="1">
      <alignment horizontal="center"/>
    </xf>
    <xf numFmtId="44" fontId="0" fillId="24" borderId="20" xfId="1" applyFont="1" applyFill="1" applyBorder="1" applyAlignment="1">
      <alignment vertical="center"/>
    </xf>
    <xf numFmtId="44" fontId="0" fillId="17" borderId="20" xfId="1" applyFont="1" applyFill="1" applyBorder="1" applyAlignment="1">
      <alignment horizontal="center" vertical="center"/>
    </xf>
    <xf numFmtId="44" fontId="0" fillId="0" borderId="20" xfId="1" applyFont="1" applyBorder="1"/>
    <xf numFmtId="44" fontId="0" fillId="17" borderId="23" xfId="1" applyFont="1" applyFill="1" applyBorder="1" applyAlignment="1">
      <alignment horizontal="center" vertical="center"/>
    </xf>
    <xf numFmtId="44" fontId="8" fillId="7" borderId="23" xfId="1" applyFont="1" applyFill="1" applyBorder="1" applyAlignment="1">
      <alignment horizontal="center" vertical="center"/>
    </xf>
    <xf numFmtId="0" fontId="0" fillId="0" borderId="52" xfId="0" applyBorder="1" applyAlignment="1">
      <alignment horizontal="center" vertical="center"/>
    </xf>
    <xf numFmtId="44" fontId="8" fillId="7" borderId="38" xfId="1" applyFont="1" applyFill="1" applyBorder="1" applyAlignment="1">
      <alignment horizontal="center" vertical="center"/>
    </xf>
    <xf numFmtId="0" fontId="0" fillId="0" borderId="25" xfId="0" applyBorder="1" applyAlignment="1">
      <alignment horizontal="center" vertical="center"/>
    </xf>
    <xf numFmtId="0" fontId="0" fillId="0" borderId="9" xfId="0" applyBorder="1" applyAlignment="1">
      <alignment horizontal="center" vertical="center"/>
    </xf>
    <xf numFmtId="44" fontId="0" fillId="2" borderId="47" xfId="1" applyFont="1" applyFill="1" applyBorder="1" applyAlignment="1">
      <alignment horizontal="center" vertical="center"/>
    </xf>
    <xf numFmtId="0" fontId="0" fillId="0" borderId="18" xfId="0" applyBorder="1" applyAlignment="1">
      <alignment horizontal="center" vertical="center"/>
    </xf>
    <xf numFmtId="0" fontId="0" fillId="0" borderId="23" xfId="0" applyBorder="1" applyAlignment="1">
      <alignment horizontal="center" vertical="center"/>
    </xf>
    <xf numFmtId="44" fontId="0" fillId="2" borderId="8" xfId="1" applyFont="1" applyFill="1" applyBorder="1" applyAlignment="1">
      <alignment horizontal="center" vertical="center"/>
    </xf>
    <xf numFmtId="44" fontId="0" fillId="17" borderId="8" xfId="1" applyFont="1" applyFill="1" applyBorder="1" applyAlignment="1">
      <alignment horizontal="center" vertical="center"/>
    </xf>
    <xf numFmtId="0" fontId="0" fillId="0" borderId="48" xfId="0" applyBorder="1" applyAlignment="1">
      <alignment horizontal="center" vertical="center"/>
    </xf>
    <xf numFmtId="0" fontId="0" fillId="0" borderId="53" xfId="0" applyBorder="1" applyAlignment="1">
      <alignment horizontal="center" vertical="center"/>
    </xf>
    <xf numFmtId="0" fontId="0" fillId="22" borderId="19" xfId="0" applyFill="1" applyBorder="1" applyAlignment="1">
      <alignment vertical="center"/>
    </xf>
    <xf numFmtId="44" fontId="0" fillId="0" borderId="8" xfId="0" applyNumberFormat="1" applyBorder="1" applyAlignment="1">
      <alignment horizontal="center" vertical="center"/>
    </xf>
    <xf numFmtId="0" fontId="0" fillId="21" borderId="1" xfId="0" applyFill="1" applyBorder="1" applyAlignment="1">
      <alignment horizontal="left" vertical="center"/>
    </xf>
    <xf numFmtId="0" fontId="0" fillId="21" borderId="1" xfId="0" applyFill="1" applyBorder="1" applyAlignment="1">
      <alignment horizontal="left" vertical="center" wrapText="1"/>
    </xf>
    <xf numFmtId="0" fontId="0" fillId="21" borderId="0" xfId="0" applyFill="1" applyAlignment="1">
      <alignment horizontal="center"/>
    </xf>
    <xf numFmtId="0" fontId="0" fillId="21" borderId="13" xfId="0" applyFill="1" applyBorder="1" applyAlignment="1">
      <alignment horizontal="center"/>
    </xf>
    <xf numFmtId="0" fontId="0" fillId="21" borderId="51" xfId="0" applyFill="1" applyBorder="1" applyAlignment="1">
      <alignment horizontal="center" vertical="center"/>
    </xf>
    <xf numFmtId="44" fontId="0" fillId="0" borderId="8" xfId="1" applyFont="1" applyBorder="1"/>
    <xf numFmtId="44" fontId="0" fillId="2" borderId="37" xfId="1" applyFont="1" applyFill="1" applyBorder="1" applyAlignment="1">
      <alignment horizontal="center" vertical="center"/>
    </xf>
    <xf numFmtId="44" fontId="0" fillId="2" borderId="34" xfId="1" applyFont="1" applyFill="1" applyBorder="1" applyAlignment="1">
      <alignment horizontal="center" vertical="center"/>
    </xf>
    <xf numFmtId="44" fontId="0" fillId="17" borderId="37" xfId="1" applyFont="1" applyFill="1" applyBorder="1" applyAlignment="1">
      <alignment horizontal="center" vertical="center"/>
    </xf>
    <xf numFmtId="0" fontId="8" fillId="21" borderId="13" xfId="0" applyFont="1" applyFill="1" applyBorder="1" applyAlignment="1">
      <alignment horizontal="center"/>
    </xf>
    <xf numFmtId="0" fontId="0" fillId="21" borderId="0" xfId="0" applyFill="1"/>
    <xf numFmtId="44" fontId="0" fillId="15" borderId="13" xfId="0" applyNumberFormat="1" applyFill="1" applyBorder="1" applyAlignment="1">
      <alignment horizontal="center" vertical="center"/>
    </xf>
    <xf numFmtId="0" fontId="8" fillId="21" borderId="54" xfId="0" applyFont="1" applyFill="1" applyBorder="1" applyAlignment="1">
      <alignment horizontal="center" vertical="center"/>
    </xf>
    <xf numFmtId="44" fontId="8" fillId="15" borderId="13" xfId="0" applyNumberFormat="1" applyFont="1" applyFill="1" applyBorder="1" applyAlignment="1">
      <alignment horizontal="center" vertical="center"/>
    </xf>
    <xf numFmtId="0" fontId="0" fillId="15" borderId="0" xfId="0" applyFill="1"/>
    <xf numFmtId="44" fontId="0" fillId="15" borderId="0" xfId="1" applyFont="1" applyFill="1"/>
    <xf numFmtId="44" fontId="19" fillId="3" borderId="13" xfId="1" applyFont="1" applyFill="1" applyBorder="1" applyAlignment="1">
      <alignment horizontal="center" vertical="center"/>
    </xf>
    <xf numFmtId="0" fontId="2" fillId="0" borderId="0" xfId="0" applyFont="1" applyAlignment="1">
      <alignment horizontal="left"/>
    </xf>
    <xf numFmtId="44" fontId="8" fillId="25" borderId="0" xfId="1" applyFont="1" applyFill="1"/>
    <xf numFmtId="44" fontId="8" fillId="25" borderId="13" xfId="1" applyFont="1" applyFill="1" applyBorder="1" applyAlignment="1">
      <alignment horizontal="center" vertical="center"/>
    </xf>
    <xf numFmtId="0" fontId="22" fillId="0" borderId="0" xfId="0" applyFont="1" applyAlignment="1">
      <alignment horizontal="center"/>
    </xf>
    <xf numFmtId="0" fontId="0" fillId="0" borderId="1" xfId="0" applyBorder="1" applyAlignment="1">
      <alignment horizontal="left"/>
    </xf>
    <xf numFmtId="44" fontId="0" fillId="0" borderId="1" xfId="0" applyNumberFormat="1" applyBorder="1"/>
    <xf numFmtId="44" fontId="8" fillId="0" borderId="1" xfId="1" applyFont="1" applyBorder="1"/>
    <xf numFmtId="44" fontId="0" fillId="0" borderId="0" xfId="1" applyFont="1" applyBorder="1"/>
    <xf numFmtId="44" fontId="0" fillId="0" borderId="0" xfId="1" applyFont="1" applyFill="1" applyBorder="1"/>
    <xf numFmtId="44" fontId="8" fillId="0" borderId="0" xfId="0" applyNumberFormat="1" applyFont="1" applyAlignment="1">
      <alignment horizontal="center" vertical="center"/>
    </xf>
    <xf numFmtId="0" fontId="11" fillId="0" borderId="1" xfId="0" applyFont="1" applyBorder="1" applyAlignment="1">
      <alignment horizontal="right"/>
    </xf>
    <xf numFmtId="44" fontId="8" fillId="21" borderId="1" xfId="0" applyNumberFormat="1" applyFont="1" applyFill="1" applyBorder="1" applyAlignment="1">
      <alignment horizontal="center" vertical="center"/>
    </xf>
    <xf numFmtId="44" fontId="0" fillId="21" borderId="1" xfId="0" applyNumberFormat="1" applyFill="1" applyBorder="1" applyAlignment="1">
      <alignment horizontal="center" vertical="center"/>
    </xf>
    <xf numFmtId="44" fontId="20" fillId="21" borderId="1" xfId="0" applyNumberFormat="1" applyFont="1" applyFill="1" applyBorder="1" applyAlignment="1">
      <alignment horizontal="center" vertical="center"/>
    </xf>
    <xf numFmtId="0" fontId="11" fillId="0" borderId="1" xfId="0" applyFont="1" applyBorder="1" applyAlignment="1">
      <alignment horizontal="left"/>
    </xf>
    <xf numFmtId="44" fontId="2" fillId="0" borderId="1" xfId="0" applyNumberFormat="1" applyFont="1" applyBorder="1"/>
    <xf numFmtId="0" fontId="10" fillId="0" borderId="0" xfId="0" applyFont="1" applyAlignment="1">
      <alignment horizontal="left"/>
    </xf>
    <xf numFmtId="44" fontId="0" fillId="0" borderId="0" xfId="1" applyFont="1" applyAlignment="1">
      <alignment horizontal="left"/>
    </xf>
    <xf numFmtId="0" fontId="2" fillId="3" borderId="13" xfId="0" applyFont="1" applyFill="1" applyBorder="1" applyAlignment="1">
      <alignment horizontal="center"/>
    </xf>
    <xf numFmtId="44" fontId="2" fillId="7" borderId="1" xfId="0" applyNumberFormat="1" applyFont="1" applyFill="1" applyBorder="1"/>
    <xf numFmtId="44" fontId="2" fillId="7" borderId="13" xfId="0" applyNumberFormat="1" applyFont="1" applyFill="1" applyBorder="1"/>
    <xf numFmtId="0" fontId="0" fillId="11" borderId="0" xfId="0" applyFill="1" applyAlignment="1">
      <alignment horizontal="center"/>
    </xf>
    <xf numFmtId="0" fontId="0" fillId="11" borderId="0" xfId="0" applyFill="1"/>
    <xf numFmtId="44" fontId="2" fillId="11" borderId="1" xfId="0" applyNumberFormat="1" applyFont="1" applyFill="1" applyBorder="1"/>
    <xf numFmtId="0" fontId="11" fillId="0" borderId="0" xfId="0" applyFont="1" applyAlignment="1">
      <alignment horizontal="center"/>
    </xf>
    <xf numFmtId="0" fontId="11" fillId="0" borderId="0" xfId="0" applyFont="1" applyAlignment="1">
      <alignment horizontal="left"/>
    </xf>
    <xf numFmtId="44" fontId="2" fillId="0" borderId="0" xfId="1" applyFont="1" applyFill="1"/>
    <xf numFmtId="44" fontId="0" fillId="0" borderId="0" xfId="1" applyFont="1" applyFill="1"/>
    <xf numFmtId="44" fontId="8" fillId="0" borderId="0" xfId="0" applyNumberFormat="1" applyFont="1"/>
    <xf numFmtId="0" fontId="20" fillId="3" borderId="0" xfId="0" applyFont="1" applyFill="1" applyAlignment="1">
      <alignment horizontal="center"/>
    </xf>
    <xf numFmtId="44" fontId="21" fillId="25" borderId="13" xfId="0" applyNumberFormat="1" applyFont="1" applyFill="1" applyBorder="1"/>
    <xf numFmtId="0" fontId="1" fillId="6" borderId="1" xfId="0" applyFont="1" applyFill="1" applyBorder="1" applyAlignment="1">
      <alignment horizontal="center"/>
    </xf>
    <xf numFmtId="0" fontId="23" fillId="6" borderId="1" xfId="0" applyFont="1" applyFill="1" applyBorder="1" applyAlignment="1">
      <alignment horizontal="center" vertical="center"/>
    </xf>
    <xf numFmtId="0" fontId="24" fillId="0" borderId="1" xfId="0" applyFont="1" applyBorder="1" applyAlignment="1">
      <alignment horizontal="center"/>
    </xf>
    <xf numFmtId="44" fontId="24" fillId="0" borderId="1" xfId="1" applyFont="1" applyBorder="1" applyAlignment="1">
      <alignment horizontal="center"/>
    </xf>
    <xf numFmtId="44" fontId="24" fillId="0" borderId="1" xfId="1" applyFont="1" applyBorder="1"/>
    <xf numFmtId="0" fontId="25" fillId="6" borderId="1" xfId="0" applyFont="1" applyFill="1" applyBorder="1" applyAlignment="1">
      <alignment horizontal="center" vertical="center"/>
    </xf>
    <xf numFmtId="44" fontId="17" fillId="0" borderId="0" xfId="0" applyNumberFormat="1" applyFont="1"/>
    <xf numFmtId="0" fontId="7" fillId="0" borderId="0" xfId="0" applyFont="1" applyAlignment="1">
      <alignment horizontal="right"/>
    </xf>
    <xf numFmtId="44" fontId="1" fillId="6" borderId="10" xfId="1" applyFont="1" applyFill="1" applyBorder="1" applyAlignment="1">
      <alignment horizontal="center" wrapText="1"/>
    </xf>
    <xf numFmtId="44" fontId="1" fillId="6" borderId="1" xfId="1" applyFont="1" applyFill="1" applyBorder="1" applyAlignment="1">
      <alignment horizontal="center" wrapText="1"/>
    </xf>
    <xf numFmtId="44" fontId="0" fillId="14" borderId="1" xfId="0" applyNumberFormat="1" applyFill="1" applyBorder="1"/>
    <xf numFmtId="44" fontId="0" fillId="13" borderId="1" xfId="0" applyNumberFormat="1" applyFill="1" applyBorder="1"/>
    <xf numFmtId="44" fontId="0" fillId="26" borderId="1" xfId="0" applyNumberFormat="1" applyFill="1" applyBorder="1"/>
    <xf numFmtId="44" fontId="0" fillId="0" borderId="7" xfId="0" applyNumberFormat="1" applyBorder="1"/>
    <xf numFmtId="44" fontId="0" fillId="26" borderId="3" xfId="0" applyNumberFormat="1" applyFill="1" applyBorder="1"/>
    <xf numFmtId="44" fontId="0" fillId="26" borderId="4" xfId="0" applyNumberFormat="1" applyFill="1" applyBorder="1"/>
    <xf numFmtId="44" fontId="1" fillId="6" borderId="0" xfId="1" applyFont="1" applyFill="1" applyBorder="1" applyAlignment="1">
      <alignment horizontal="center"/>
    </xf>
    <xf numFmtId="0" fontId="8" fillId="0" borderId="0" xfId="0" applyFont="1"/>
    <xf numFmtId="0" fontId="0" fillId="0" borderId="45" xfId="0" applyBorder="1"/>
    <xf numFmtId="0" fontId="0" fillId="0" borderId="44" xfId="0" applyBorder="1" applyAlignment="1">
      <alignment horizontal="center"/>
    </xf>
    <xf numFmtId="44" fontId="0" fillId="0" borderId="44" xfId="1" applyFont="1" applyBorder="1"/>
    <xf numFmtId="0" fontId="0" fillId="0" borderId="44" xfId="0" applyBorder="1"/>
    <xf numFmtId="0" fontId="0" fillId="0" borderId="46" xfId="0" applyBorder="1"/>
    <xf numFmtId="0" fontId="0" fillId="0" borderId="36" xfId="0" applyBorder="1"/>
    <xf numFmtId="0" fontId="0" fillId="0" borderId="55" xfId="0" applyBorder="1"/>
    <xf numFmtId="0" fontId="0" fillId="0" borderId="36" xfId="0" applyBorder="1" applyAlignment="1">
      <alignment horizontal="center"/>
    </xf>
    <xf numFmtId="0" fontId="0" fillId="0" borderId="55" xfId="0" applyBorder="1" applyAlignment="1">
      <alignment horizontal="center"/>
    </xf>
    <xf numFmtId="9" fontId="0" fillId="0" borderId="0" xfId="0" applyNumberFormat="1" applyAlignment="1">
      <alignment horizontal="left"/>
    </xf>
    <xf numFmtId="0" fontId="0" fillId="0" borderId="56" xfId="0" applyBorder="1"/>
    <xf numFmtId="0" fontId="0" fillId="0" borderId="57" xfId="0" applyBorder="1"/>
    <xf numFmtId="0" fontId="0" fillId="0" borderId="57" xfId="0" applyBorder="1" applyAlignment="1">
      <alignment horizontal="center"/>
    </xf>
    <xf numFmtId="44" fontId="0" fillId="0" borderId="57" xfId="1" applyFont="1" applyBorder="1"/>
    <xf numFmtId="0" fontId="0" fillId="0" borderId="58" xfId="0" applyBorder="1"/>
    <xf numFmtId="0" fontId="20" fillId="0" borderId="0" xfId="0" applyFont="1"/>
    <xf numFmtId="9" fontId="2" fillId="0" borderId="0" xfId="0" applyNumberFormat="1" applyFont="1" applyAlignment="1">
      <alignment horizontal="center"/>
    </xf>
    <xf numFmtId="44" fontId="2" fillId="0" borderId="0" xfId="1" applyFont="1" applyBorder="1" applyAlignment="1">
      <alignment horizontal="center"/>
    </xf>
    <xf numFmtId="44" fontId="8" fillId="13" borderId="13" xfId="0" applyNumberFormat="1" applyFont="1" applyFill="1" applyBorder="1"/>
    <xf numFmtId="44" fontId="11" fillId="0" borderId="0" xfId="1" applyFont="1" applyAlignment="1">
      <alignment horizontal="center"/>
    </xf>
    <xf numFmtId="44" fontId="11" fillId="0" borderId="0" xfId="1" applyFont="1"/>
    <xf numFmtId="44" fontId="11" fillId="0" borderId="0" xfId="1" applyFont="1" applyAlignment="1"/>
    <xf numFmtId="44" fontId="1" fillId="6" borderId="1" xfId="1" applyFont="1" applyFill="1" applyBorder="1" applyAlignment="1">
      <alignment horizontal="center"/>
    </xf>
    <xf numFmtId="44" fontId="0" fillId="7" borderId="1" xfId="1" applyFont="1" applyFill="1" applyBorder="1"/>
    <xf numFmtId="2" fontId="0" fillId="0" borderId="0" xfId="0" applyNumberFormat="1" applyAlignment="1">
      <alignment horizontal="center"/>
    </xf>
    <xf numFmtId="9" fontId="0" fillId="0" borderId="1" xfId="2" applyFont="1" applyBorder="1"/>
    <xf numFmtId="9" fontId="0" fillId="14" borderId="1" xfId="2" applyFont="1" applyFill="1" applyBorder="1"/>
    <xf numFmtId="9" fontId="8" fillId="0" borderId="1" xfId="2" applyFont="1" applyBorder="1"/>
    <xf numFmtId="0" fontId="8" fillId="0" borderId="1" xfId="0" applyFont="1" applyBorder="1" applyAlignment="1">
      <alignment vertical="center"/>
    </xf>
    <xf numFmtId="0" fontId="1" fillId="14" borderId="3" xfId="0" applyFont="1" applyFill="1" applyBorder="1" applyAlignment="1">
      <alignment horizontal="center" textRotation="90" wrapText="1"/>
    </xf>
    <xf numFmtId="3" fontId="4" fillId="0" borderId="1" xfId="0" applyNumberFormat="1" applyFont="1" applyBorder="1" applyAlignment="1">
      <alignment vertical="center"/>
    </xf>
    <xf numFmtId="3" fontId="4" fillId="0" borderId="8" xfId="0" applyNumberFormat="1" applyFont="1" applyBorder="1" applyAlignment="1">
      <alignment vertical="center"/>
    </xf>
    <xf numFmtId="3" fontId="2" fillId="24" borderId="1" xfId="0" applyNumberFormat="1" applyFont="1" applyFill="1" applyBorder="1" applyAlignment="1">
      <alignment horizontal="center" vertical="center"/>
    </xf>
    <xf numFmtId="3" fontId="2" fillId="0" borderId="8" xfId="0" applyNumberFormat="1" applyFont="1" applyBorder="1"/>
    <xf numFmtId="3" fontId="2" fillId="24" borderId="1" xfId="0" applyNumberFormat="1" applyFont="1" applyFill="1" applyBorder="1" applyAlignment="1">
      <alignment horizontal="center"/>
    </xf>
    <xf numFmtId="3" fontId="2" fillId="0" borderId="1" xfId="0" applyNumberFormat="1" applyFont="1" applyBorder="1"/>
    <xf numFmtId="3" fontId="2" fillId="0" borderId="1" xfId="0" applyNumberFormat="1" applyFont="1" applyBorder="1" applyAlignment="1">
      <alignment vertical="center"/>
    </xf>
    <xf numFmtId="3" fontId="0" fillId="0" borderId="0" xfId="0" applyNumberFormat="1" applyAlignment="1">
      <alignment horizontal="center" vertical="center"/>
    </xf>
    <xf numFmtId="44" fontId="0" fillId="0" borderId="0" xfId="0" applyNumberFormat="1" applyAlignment="1">
      <alignment vertical="center"/>
    </xf>
    <xf numFmtId="3" fontId="2" fillId="21" borderId="8" xfId="0" applyNumberFormat="1" applyFont="1" applyFill="1" applyBorder="1" applyAlignment="1">
      <alignment horizontal="right" vertical="center"/>
    </xf>
    <xf numFmtId="3" fontId="2" fillId="21" borderId="8" xfId="0" applyNumberFormat="1" applyFont="1" applyFill="1" applyBorder="1" applyAlignment="1">
      <alignment horizontal="center" vertical="center"/>
    </xf>
    <xf numFmtId="39" fontId="0" fillId="0" borderId="0" xfId="1" applyNumberFormat="1" applyFont="1"/>
    <xf numFmtId="39" fontId="2" fillId="0" borderId="0" xfId="1" applyNumberFormat="1" applyFont="1"/>
    <xf numFmtId="0" fontId="2" fillId="0" borderId="0" xfId="0" applyFont="1" applyAlignment="1">
      <alignment horizontal="center" wrapText="1"/>
    </xf>
    <xf numFmtId="0" fontId="8" fillId="0" borderId="0" xfId="0" applyFont="1" applyAlignment="1">
      <alignment horizontal="right"/>
    </xf>
    <xf numFmtId="0" fontId="27" fillId="27" borderId="0" xfId="0" applyFont="1" applyFill="1" applyAlignment="1">
      <alignment horizontal="center"/>
    </xf>
    <xf numFmtId="0" fontId="28" fillId="0" borderId="0" xfId="0" applyFont="1" applyAlignment="1">
      <alignment horizontal="center"/>
    </xf>
    <xf numFmtId="44" fontId="0" fillId="7" borderId="0" xfId="1" applyFont="1" applyFill="1"/>
    <xf numFmtId="9" fontId="0" fillId="0" borderId="0" xfId="0" applyNumberFormat="1"/>
    <xf numFmtId="10" fontId="0" fillId="0" borderId="0" xfId="0" applyNumberFormat="1"/>
    <xf numFmtId="0" fontId="0" fillId="4" borderId="0" xfId="0" applyFill="1"/>
    <xf numFmtId="44" fontId="8" fillId="4" borderId="0" xfId="1" applyFont="1" applyFill="1"/>
    <xf numFmtId="0" fontId="1" fillId="5" borderId="0" xfId="0" applyFont="1" applyFill="1" applyAlignment="1">
      <alignment horizontal="center"/>
    </xf>
    <xf numFmtId="0" fontId="21" fillId="0" borderId="0" xfId="0" applyFont="1"/>
    <xf numFmtId="0" fontId="22" fillId="0" borderId="0" xfId="0" applyFont="1"/>
    <xf numFmtId="0" fontId="1" fillId="14" borderId="6" xfId="0" applyFont="1" applyFill="1" applyBorder="1" applyAlignment="1">
      <alignment horizontal="center"/>
    </xf>
    <xf numFmtId="0" fontId="1" fillId="14" borderId="2" xfId="0" applyFont="1" applyFill="1" applyBorder="1" applyAlignment="1">
      <alignment horizontal="center"/>
    </xf>
    <xf numFmtId="0" fontId="4" fillId="2" borderId="9" xfId="0" applyFont="1" applyFill="1" applyBorder="1" applyAlignment="1">
      <alignment horizontal="left" vertical="center" wrapText="1"/>
    </xf>
    <xf numFmtId="0" fontId="4" fillId="2" borderId="6" xfId="0" applyFont="1" applyFill="1" applyBorder="1" applyAlignment="1">
      <alignment horizontal="left" vertical="center" wrapText="1"/>
    </xf>
    <xf numFmtId="0" fontId="0" fillId="0" borderId="10" xfId="0" applyBorder="1" applyAlignment="1">
      <alignment horizontal="left" vertical="center"/>
    </xf>
    <xf numFmtId="0" fontId="0" fillId="0" borderId="2" xfId="0" applyBorder="1" applyAlignment="1">
      <alignment horizontal="left" vertical="center"/>
    </xf>
    <xf numFmtId="0" fontId="2" fillId="2" borderId="1" xfId="0" applyFont="1" applyFill="1" applyBorder="1" applyAlignment="1">
      <alignment horizontal="left" vertical="center" wrapText="1"/>
    </xf>
    <xf numFmtId="0" fontId="0" fillId="0" borderId="1" xfId="0" applyBorder="1" applyAlignment="1">
      <alignment horizontal="center" vertical="center"/>
    </xf>
    <xf numFmtId="0" fontId="4" fillId="10" borderId="1" xfId="0" applyFont="1" applyFill="1" applyBorder="1" applyAlignment="1">
      <alignment horizontal="left" vertical="center" wrapText="1"/>
    </xf>
    <xf numFmtId="0" fontId="4" fillId="4" borderId="1" xfId="0" applyFont="1" applyFill="1" applyBorder="1" applyAlignment="1">
      <alignment horizontal="left" vertical="center"/>
    </xf>
    <xf numFmtId="0" fontId="4" fillId="10" borderId="1" xfId="0" applyFont="1" applyFill="1" applyBorder="1" applyAlignment="1">
      <alignment horizontal="left" vertical="center"/>
    </xf>
    <xf numFmtId="0" fontId="4" fillId="2" borderId="1" xfId="0" applyFont="1" applyFill="1" applyBorder="1" applyAlignment="1">
      <alignment horizontal="left"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 fillId="11" borderId="3" xfId="0" applyFont="1" applyFill="1" applyBorder="1" applyAlignment="1">
      <alignment horizontal="left" vertical="center" wrapText="1"/>
    </xf>
    <xf numFmtId="0" fontId="2" fillId="11" borderId="4" xfId="0" applyFont="1" applyFill="1"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1" fillId="14" borderId="49" xfId="0" applyFont="1" applyFill="1" applyBorder="1" applyAlignment="1">
      <alignment horizontal="center"/>
    </xf>
    <xf numFmtId="0" fontId="1" fillId="14" borderId="35" xfId="0" applyFont="1" applyFill="1" applyBorder="1" applyAlignment="1">
      <alignment horizontal="center"/>
    </xf>
    <xf numFmtId="0" fontId="1" fillId="14" borderId="50" xfId="0" applyFont="1" applyFill="1" applyBorder="1" applyAlignment="1">
      <alignment horizontal="center"/>
    </xf>
  </cellXfs>
  <cellStyles count="3">
    <cellStyle name="Moneda" xfId="1" builtinId="4"/>
    <cellStyle name="Normal" xfId="0" builtinId="0"/>
    <cellStyle name="Porcentaje" xfId="2" builtinId="5"/>
  </cellStyles>
  <dxfs count="0"/>
  <tableStyles count="0" defaultTableStyle="TableStyleMedium2" defaultPivotStyle="PivotStyleLight16"/>
  <colors>
    <mruColors>
      <color rgb="FF66FF33"/>
      <color rgb="FFCCFF33"/>
      <color rgb="FFFFFF99"/>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Costo Operativo vs Numero de Alumnos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lineMarker"/>
        <c:varyColors val="0"/>
        <c:ser>
          <c:idx val="0"/>
          <c:order val="0"/>
          <c:tx>
            <c:strRef>
              <c:f>'Modelo Financiero Operativo'!$BM$75</c:f>
              <c:strCache>
                <c:ptCount val="1"/>
                <c:pt idx="0">
                  <c:v>Costo Operativo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'Modelo Financiero Operativo'!$BL$76:$BL$82</c:f>
              <c:numCache>
                <c:formatCode>General</c:formatCode>
                <c:ptCount val="7"/>
                <c:pt idx="0">
                  <c:v>10</c:v>
                </c:pt>
                <c:pt idx="1">
                  <c:v>30</c:v>
                </c:pt>
                <c:pt idx="2">
                  <c:v>50</c:v>
                </c:pt>
                <c:pt idx="3">
                  <c:v>70</c:v>
                </c:pt>
                <c:pt idx="4">
                  <c:v>100</c:v>
                </c:pt>
                <c:pt idx="5">
                  <c:v>200</c:v>
                </c:pt>
                <c:pt idx="6">
                  <c:v>1000</c:v>
                </c:pt>
              </c:numCache>
            </c:numRef>
          </c:xVal>
          <c:yVal>
            <c:numRef>
              <c:f>'Modelo Financiero Operativo'!$BM$76:$BM$82</c:f>
              <c:numCache>
                <c:formatCode>_("$"* #,##0.00_);_("$"* \(#,##0.00\);_("$"* "-"??_);_(@_)</c:formatCode>
                <c:ptCount val="7"/>
                <c:pt idx="0">
                  <c:v>13118.194444444445</c:v>
                </c:pt>
                <c:pt idx="1">
                  <c:v>4581.5277777777774</c:v>
                </c:pt>
                <c:pt idx="2">
                  <c:v>2874.1944444444443</c:v>
                </c:pt>
                <c:pt idx="3">
                  <c:v>2142.480158730159</c:v>
                </c:pt>
                <c:pt idx="4">
                  <c:v>1593.6944444444443</c:v>
                </c:pt>
                <c:pt idx="5">
                  <c:v>953.44444444444446</c:v>
                </c:pt>
                <c:pt idx="6">
                  <c:v>441.24444444444453</c:v>
                </c:pt>
              </c:numCache>
            </c:numRef>
          </c:yVal>
          <c:smooth val="0"/>
          <c:extLst>
            <c:ext xmlns:c16="http://schemas.microsoft.com/office/drawing/2014/chart" uri="{C3380CC4-5D6E-409C-BE32-E72D297353CC}">
              <c16:uniqueId val="{00000000-9192-4A30-9066-73FCB8233932}"/>
            </c:ext>
          </c:extLst>
        </c:ser>
        <c:dLbls>
          <c:showLegendKey val="0"/>
          <c:showVal val="0"/>
          <c:showCatName val="0"/>
          <c:showSerName val="0"/>
          <c:showPercent val="0"/>
          <c:showBubbleSize val="0"/>
        </c:dLbls>
        <c:axId val="322472479"/>
        <c:axId val="322471999"/>
      </c:scatterChart>
      <c:valAx>
        <c:axId val="322472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2471999"/>
        <c:crosses val="autoZero"/>
        <c:crossBetween val="midCat"/>
      </c:valAx>
      <c:valAx>
        <c:axId val="32247199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247247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Costo Operativo vs Numero de Alumnos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lineMarker"/>
        <c:varyColors val="0"/>
        <c:ser>
          <c:idx val="0"/>
          <c:order val="0"/>
          <c:tx>
            <c:strRef>
              <c:f>'Modelo Financiero Operativo (2)'!$BP$75</c:f>
              <c:strCache>
                <c:ptCount val="1"/>
                <c:pt idx="0">
                  <c:v>Costo Operativo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'Modelo Financiero Operativo (2)'!$BO$76:$BO$82</c:f>
              <c:numCache>
                <c:formatCode>General</c:formatCode>
                <c:ptCount val="7"/>
                <c:pt idx="0">
                  <c:v>10</c:v>
                </c:pt>
                <c:pt idx="1">
                  <c:v>30</c:v>
                </c:pt>
                <c:pt idx="2">
                  <c:v>50</c:v>
                </c:pt>
                <c:pt idx="3">
                  <c:v>70</c:v>
                </c:pt>
                <c:pt idx="4">
                  <c:v>100</c:v>
                </c:pt>
                <c:pt idx="5">
                  <c:v>200</c:v>
                </c:pt>
                <c:pt idx="6">
                  <c:v>1000</c:v>
                </c:pt>
              </c:numCache>
            </c:numRef>
          </c:xVal>
          <c:yVal>
            <c:numRef>
              <c:f>'Modelo Financiero Operativo (2)'!$BP$76:$BP$82</c:f>
              <c:numCache>
                <c:formatCode>_("$"* #,##0.00_);_("$"* \(#,##0.00\);_("$"* "-"??_);_(@_)</c:formatCode>
                <c:ptCount val="7"/>
                <c:pt idx="0">
                  <c:v>13118.194444444445</c:v>
                </c:pt>
                <c:pt idx="1">
                  <c:v>4581.5277777777774</c:v>
                </c:pt>
                <c:pt idx="2">
                  <c:v>2874.1944444444443</c:v>
                </c:pt>
                <c:pt idx="3">
                  <c:v>2142.480158730159</c:v>
                </c:pt>
                <c:pt idx="4">
                  <c:v>1593.6944444444443</c:v>
                </c:pt>
                <c:pt idx="5">
                  <c:v>953.44444444444446</c:v>
                </c:pt>
                <c:pt idx="6">
                  <c:v>441.24444444444453</c:v>
                </c:pt>
              </c:numCache>
            </c:numRef>
          </c:yVal>
          <c:smooth val="0"/>
          <c:extLst>
            <c:ext xmlns:c16="http://schemas.microsoft.com/office/drawing/2014/chart" uri="{C3380CC4-5D6E-409C-BE32-E72D297353CC}">
              <c16:uniqueId val="{00000000-3316-4074-A24A-10B36D0E11DB}"/>
            </c:ext>
          </c:extLst>
        </c:ser>
        <c:dLbls>
          <c:showLegendKey val="0"/>
          <c:showVal val="0"/>
          <c:showCatName val="0"/>
          <c:showSerName val="0"/>
          <c:showPercent val="0"/>
          <c:showBubbleSize val="0"/>
        </c:dLbls>
        <c:axId val="322472479"/>
        <c:axId val="322471999"/>
      </c:scatterChart>
      <c:valAx>
        <c:axId val="322472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2471999"/>
        <c:crosses val="autoZero"/>
        <c:crossBetween val="midCat"/>
      </c:valAx>
      <c:valAx>
        <c:axId val="32247199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247247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6" Type="http://schemas.openxmlformats.org/officeDocument/2006/relationships/image" Target="../media/image22.png"/><Relationship Id="rId21" Type="http://schemas.openxmlformats.org/officeDocument/2006/relationships/hyperlink" Target="https://es.m.wikipedia.org/wiki/Archivo:Apache_Software_Foundation_Logo_(2016).svg" TargetMode="External"/><Relationship Id="rId42" Type="http://schemas.openxmlformats.org/officeDocument/2006/relationships/image" Target="../media/image35.png"/><Relationship Id="rId47" Type="http://schemas.openxmlformats.org/officeDocument/2006/relationships/image" Target="../media/image39.svg"/><Relationship Id="rId63" Type="http://schemas.openxmlformats.org/officeDocument/2006/relationships/image" Target="../media/image55.png"/><Relationship Id="rId68" Type="http://schemas.openxmlformats.org/officeDocument/2006/relationships/image" Target="../media/image60.png"/><Relationship Id="rId7" Type="http://schemas.openxmlformats.org/officeDocument/2006/relationships/image" Target="../media/image8.png"/><Relationship Id="rId2" Type="http://schemas.openxmlformats.org/officeDocument/2006/relationships/image" Target="../media/image3.png"/><Relationship Id="rId16" Type="http://schemas.openxmlformats.org/officeDocument/2006/relationships/hyperlink" Target="https://about.gitlab.com/solutions/aws/" TargetMode="External"/><Relationship Id="rId29" Type="http://schemas.openxmlformats.org/officeDocument/2006/relationships/hyperlink" Target="https://ugeek.github.io/blog/post/2019-02-24-instalar-servicios-o-aplicaciones-con-docker-para-tu-raspberry-o-cualquier-servidor-gnu-linux.html" TargetMode="External"/><Relationship Id="rId11" Type="http://schemas.openxmlformats.org/officeDocument/2006/relationships/image" Target="../media/image12.png"/><Relationship Id="rId24" Type="http://schemas.openxmlformats.org/officeDocument/2006/relationships/image" Target="../media/image21.png"/><Relationship Id="rId32" Type="http://schemas.openxmlformats.org/officeDocument/2006/relationships/image" Target="../media/image25.jpeg"/><Relationship Id="rId37" Type="http://schemas.openxmlformats.org/officeDocument/2006/relationships/image" Target="../media/image30.png"/><Relationship Id="rId40" Type="http://schemas.openxmlformats.org/officeDocument/2006/relationships/image" Target="../media/image33.png"/><Relationship Id="rId45" Type="http://schemas.openxmlformats.org/officeDocument/2006/relationships/image" Target="../media/image37.png"/><Relationship Id="rId53" Type="http://schemas.openxmlformats.org/officeDocument/2006/relationships/image" Target="../media/image45.png"/><Relationship Id="rId58" Type="http://schemas.openxmlformats.org/officeDocument/2006/relationships/image" Target="../media/image50.jpeg"/><Relationship Id="rId66" Type="http://schemas.openxmlformats.org/officeDocument/2006/relationships/image" Target="../media/image58.png"/><Relationship Id="rId5" Type="http://schemas.openxmlformats.org/officeDocument/2006/relationships/image" Target="../media/image6.png"/><Relationship Id="rId61" Type="http://schemas.openxmlformats.org/officeDocument/2006/relationships/image" Target="../media/image53.png"/><Relationship Id="rId19" Type="http://schemas.openxmlformats.org/officeDocument/2006/relationships/hyperlink" Target="http://www.azurecurve.co.uk/2012/08/new-logo-for-microsoft-after-25-years/" TargetMode="External"/><Relationship Id="rId14" Type="http://schemas.openxmlformats.org/officeDocument/2006/relationships/image" Target="../media/image15.png"/><Relationship Id="rId22" Type="http://schemas.openxmlformats.org/officeDocument/2006/relationships/image" Target="../media/image20.png"/><Relationship Id="rId27" Type="http://schemas.openxmlformats.org/officeDocument/2006/relationships/hyperlink" Target="https://medium.com/@v.souhrada/kotlin-a-language-we-should-know-it-exists-c1fafe39f9b6" TargetMode="External"/><Relationship Id="rId30" Type="http://schemas.openxmlformats.org/officeDocument/2006/relationships/image" Target="../media/image24.png"/><Relationship Id="rId35" Type="http://schemas.openxmlformats.org/officeDocument/2006/relationships/image" Target="../media/image28.png"/><Relationship Id="rId43" Type="http://schemas.microsoft.com/office/2007/relationships/hdphoto" Target="../media/hdphoto1.wdp"/><Relationship Id="rId48" Type="http://schemas.openxmlformats.org/officeDocument/2006/relationships/image" Target="../media/image40.png"/><Relationship Id="rId56" Type="http://schemas.openxmlformats.org/officeDocument/2006/relationships/image" Target="../media/image48.png"/><Relationship Id="rId64" Type="http://schemas.openxmlformats.org/officeDocument/2006/relationships/image" Target="../media/image56.png"/><Relationship Id="rId69" Type="http://schemas.openxmlformats.org/officeDocument/2006/relationships/image" Target="../media/image61.png"/><Relationship Id="rId8" Type="http://schemas.openxmlformats.org/officeDocument/2006/relationships/image" Target="../media/image9.png"/><Relationship Id="rId51" Type="http://schemas.openxmlformats.org/officeDocument/2006/relationships/image" Target="../media/image43.png"/><Relationship Id="rId3" Type="http://schemas.openxmlformats.org/officeDocument/2006/relationships/image" Target="../media/image4.png"/><Relationship Id="rId12" Type="http://schemas.openxmlformats.org/officeDocument/2006/relationships/image" Target="../media/image13.png"/><Relationship Id="rId17" Type="http://schemas.openxmlformats.org/officeDocument/2006/relationships/image" Target="../media/image17.png"/><Relationship Id="rId25" Type="http://schemas.openxmlformats.org/officeDocument/2006/relationships/hyperlink" Target="https://ru.wikipedia.org/wiki/Java" TargetMode="External"/><Relationship Id="rId33" Type="http://schemas.openxmlformats.org/officeDocument/2006/relationships/image" Target="../media/image26.png"/><Relationship Id="rId38" Type="http://schemas.openxmlformats.org/officeDocument/2006/relationships/image" Target="../media/image31.png"/><Relationship Id="rId46" Type="http://schemas.openxmlformats.org/officeDocument/2006/relationships/image" Target="../media/image38.png"/><Relationship Id="rId59" Type="http://schemas.openxmlformats.org/officeDocument/2006/relationships/image" Target="../media/image51.png"/><Relationship Id="rId67" Type="http://schemas.openxmlformats.org/officeDocument/2006/relationships/image" Target="../media/image59.png"/><Relationship Id="rId20" Type="http://schemas.openxmlformats.org/officeDocument/2006/relationships/image" Target="../media/image19.png"/><Relationship Id="rId41" Type="http://schemas.openxmlformats.org/officeDocument/2006/relationships/image" Target="../media/image34.png"/><Relationship Id="rId54" Type="http://schemas.openxmlformats.org/officeDocument/2006/relationships/image" Target="../media/image46.png"/><Relationship Id="rId62" Type="http://schemas.openxmlformats.org/officeDocument/2006/relationships/image" Target="../media/image54.png"/><Relationship Id="rId1" Type="http://schemas.openxmlformats.org/officeDocument/2006/relationships/image" Target="../media/image2.png"/><Relationship Id="rId6" Type="http://schemas.openxmlformats.org/officeDocument/2006/relationships/image" Target="../media/image7.png"/><Relationship Id="rId15" Type="http://schemas.openxmlformats.org/officeDocument/2006/relationships/image" Target="../media/image16.png"/><Relationship Id="rId23" Type="http://schemas.openxmlformats.org/officeDocument/2006/relationships/hyperlink" Target="https://en.wikipedia.org/wiki/File:Spring_Framework_Logo_2018.svg" TargetMode="External"/><Relationship Id="rId28" Type="http://schemas.openxmlformats.org/officeDocument/2006/relationships/image" Target="../media/image23.png"/><Relationship Id="rId36" Type="http://schemas.openxmlformats.org/officeDocument/2006/relationships/image" Target="../media/image29.png"/><Relationship Id="rId49" Type="http://schemas.openxmlformats.org/officeDocument/2006/relationships/image" Target="../media/image41.png"/><Relationship Id="rId57" Type="http://schemas.openxmlformats.org/officeDocument/2006/relationships/image" Target="../media/image49.png"/><Relationship Id="rId10" Type="http://schemas.openxmlformats.org/officeDocument/2006/relationships/image" Target="../media/image11.png"/><Relationship Id="rId31" Type="http://schemas.openxmlformats.org/officeDocument/2006/relationships/hyperlink" Target="https://zetawiki.com/wiki/%EA%B5%AC%EA%B8%80_kubernetes" TargetMode="External"/><Relationship Id="rId44" Type="http://schemas.openxmlformats.org/officeDocument/2006/relationships/image" Target="../media/image36.png"/><Relationship Id="rId52" Type="http://schemas.openxmlformats.org/officeDocument/2006/relationships/image" Target="../media/image44.png"/><Relationship Id="rId60" Type="http://schemas.openxmlformats.org/officeDocument/2006/relationships/image" Target="../media/image52.png"/><Relationship Id="rId65" Type="http://schemas.openxmlformats.org/officeDocument/2006/relationships/image" Target="../media/image57.png"/><Relationship Id="rId4" Type="http://schemas.openxmlformats.org/officeDocument/2006/relationships/image" Target="../media/image5.png"/><Relationship Id="rId9" Type="http://schemas.openxmlformats.org/officeDocument/2006/relationships/image" Target="../media/image10.png"/><Relationship Id="rId13" Type="http://schemas.openxmlformats.org/officeDocument/2006/relationships/image" Target="../media/image14.png"/><Relationship Id="rId18" Type="http://schemas.openxmlformats.org/officeDocument/2006/relationships/image" Target="../media/image18.png"/><Relationship Id="rId39" Type="http://schemas.openxmlformats.org/officeDocument/2006/relationships/image" Target="../media/image32.png"/><Relationship Id="rId34" Type="http://schemas.openxmlformats.org/officeDocument/2006/relationships/image" Target="../media/image27.png"/><Relationship Id="rId50" Type="http://schemas.openxmlformats.org/officeDocument/2006/relationships/image" Target="../media/image42.png"/><Relationship Id="rId55" Type="http://schemas.openxmlformats.org/officeDocument/2006/relationships/image" Target="../media/image47.png"/></Relationships>
</file>

<file path=xl/drawings/_rels/drawing2.xml.rels><?xml version="1.0" encoding="UTF-8" standalone="yes"?>
<Relationships xmlns="http://schemas.openxmlformats.org/package/2006/relationships"><Relationship Id="rId26" Type="http://schemas.openxmlformats.org/officeDocument/2006/relationships/image" Target="../media/image22.png"/><Relationship Id="rId21" Type="http://schemas.openxmlformats.org/officeDocument/2006/relationships/hyperlink" Target="https://es.m.wikipedia.org/wiki/Archivo:Apache_Software_Foundation_Logo_(2016).svg" TargetMode="External"/><Relationship Id="rId42" Type="http://schemas.openxmlformats.org/officeDocument/2006/relationships/image" Target="../media/image35.png"/><Relationship Id="rId47" Type="http://schemas.openxmlformats.org/officeDocument/2006/relationships/image" Target="../media/image39.svg"/><Relationship Id="rId63" Type="http://schemas.openxmlformats.org/officeDocument/2006/relationships/image" Target="../media/image55.png"/><Relationship Id="rId68" Type="http://schemas.openxmlformats.org/officeDocument/2006/relationships/image" Target="../media/image60.png"/><Relationship Id="rId7" Type="http://schemas.openxmlformats.org/officeDocument/2006/relationships/image" Target="../media/image8.png"/><Relationship Id="rId2" Type="http://schemas.openxmlformats.org/officeDocument/2006/relationships/image" Target="../media/image3.png"/><Relationship Id="rId16" Type="http://schemas.openxmlformats.org/officeDocument/2006/relationships/hyperlink" Target="https://about.gitlab.com/solutions/aws/" TargetMode="External"/><Relationship Id="rId29" Type="http://schemas.openxmlformats.org/officeDocument/2006/relationships/hyperlink" Target="https://ugeek.github.io/blog/post/2019-02-24-instalar-servicios-o-aplicaciones-con-docker-para-tu-raspberry-o-cualquier-servidor-gnu-linux.html" TargetMode="External"/><Relationship Id="rId11" Type="http://schemas.openxmlformats.org/officeDocument/2006/relationships/image" Target="../media/image12.png"/><Relationship Id="rId24" Type="http://schemas.openxmlformats.org/officeDocument/2006/relationships/image" Target="../media/image21.png"/><Relationship Id="rId32" Type="http://schemas.openxmlformats.org/officeDocument/2006/relationships/image" Target="../media/image25.jpeg"/><Relationship Id="rId37" Type="http://schemas.openxmlformats.org/officeDocument/2006/relationships/image" Target="../media/image30.png"/><Relationship Id="rId40" Type="http://schemas.openxmlformats.org/officeDocument/2006/relationships/image" Target="../media/image33.png"/><Relationship Id="rId45" Type="http://schemas.openxmlformats.org/officeDocument/2006/relationships/image" Target="../media/image37.png"/><Relationship Id="rId53" Type="http://schemas.openxmlformats.org/officeDocument/2006/relationships/image" Target="../media/image45.png"/><Relationship Id="rId58" Type="http://schemas.openxmlformats.org/officeDocument/2006/relationships/image" Target="../media/image50.jpeg"/><Relationship Id="rId66" Type="http://schemas.openxmlformats.org/officeDocument/2006/relationships/image" Target="../media/image58.png"/><Relationship Id="rId5" Type="http://schemas.openxmlformats.org/officeDocument/2006/relationships/image" Target="../media/image6.png"/><Relationship Id="rId61" Type="http://schemas.openxmlformats.org/officeDocument/2006/relationships/image" Target="../media/image53.png"/><Relationship Id="rId19" Type="http://schemas.openxmlformats.org/officeDocument/2006/relationships/hyperlink" Target="http://www.azurecurve.co.uk/2012/08/new-logo-for-microsoft-after-25-years/" TargetMode="External"/><Relationship Id="rId14" Type="http://schemas.openxmlformats.org/officeDocument/2006/relationships/image" Target="../media/image15.png"/><Relationship Id="rId22" Type="http://schemas.openxmlformats.org/officeDocument/2006/relationships/image" Target="../media/image20.png"/><Relationship Id="rId27" Type="http://schemas.openxmlformats.org/officeDocument/2006/relationships/hyperlink" Target="https://medium.com/@v.souhrada/kotlin-a-language-we-should-know-it-exists-c1fafe39f9b6" TargetMode="External"/><Relationship Id="rId30" Type="http://schemas.openxmlformats.org/officeDocument/2006/relationships/image" Target="../media/image24.png"/><Relationship Id="rId35" Type="http://schemas.openxmlformats.org/officeDocument/2006/relationships/image" Target="../media/image28.png"/><Relationship Id="rId43" Type="http://schemas.microsoft.com/office/2007/relationships/hdphoto" Target="../media/hdphoto1.wdp"/><Relationship Id="rId48" Type="http://schemas.openxmlformats.org/officeDocument/2006/relationships/image" Target="../media/image40.png"/><Relationship Id="rId56" Type="http://schemas.openxmlformats.org/officeDocument/2006/relationships/image" Target="../media/image48.png"/><Relationship Id="rId64" Type="http://schemas.openxmlformats.org/officeDocument/2006/relationships/image" Target="../media/image56.png"/><Relationship Id="rId69" Type="http://schemas.openxmlformats.org/officeDocument/2006/relationships/image" Target="../media/image61.png"/><Relationship Id="rId8" Type="http://schemas.openxmlformats.org/officeDocument/2006/relationships/image" Target="../media/image9.png"/><Relationship Id="rId51" Type="http://schemas.openxmlformats.org/officeDocument/2006/relationships/image" Target="../media/image43.png"/><Relationship Id="rId3" Type="http://schemas.openxmlformats.org/officeDocument/2006/relationships/image" Target="../media/image4.png"/><Relationship Id="rId12" Type="http://schemas.openxmlformats.org/officeDocument/2006/relationships/image" Target="../media/image13.png"/><Relationship Id="rId17" Type="http://schemas.openxmlformats.org/officeDocument/2006/relationships/image" Target="../media/image17.png"/><Relationship Id="rId25" Type="http://schemas.openxmlformats.org/officeDocument/2006/relationships/hyperlink" Target="https://ru.wikipedia.org/wiki/Java" TargetMode="External"/><Relationship Id="rId33" Type="http://schemas.openxmlformats.org/officeDocument/2006/relationships/image" Target="../media/image26.png"/><Relationship Id="rId38" Type="http://schemas.openxmlformats.org/officeDocument/2006/relationships/image" Target="../media/image31.png"/><Relationship Id="rId46" Type="http://schemas.openxmlformats.org/officeDocument/2006/relationships/image" Target="../media/image38.png"/><Relationship Id="rId59" Type="http://schemas.openxmlformats.org/officeDocument/2006/relationships/image" Target="../media/image51.png"/><Relationship Id="rId67" Type="http://schemas.openxmlformats.org/officeDocument/2006/relationships/image" Target="../media/image59.png"/><Relationship Id="rId20" Type="http://schemas.openxmlformats.org/officeDocument/2006/relationships/image" Target="../media/image19.png"/><Relationship Id="rId41" Type="http://schemas.openxmlformats.org/officeDocument/2006/relationships/image" Target="../media/image34.png"/><Relationship Id="rId54" Type="http://schemas.openxmlformats.org/officeDocument/2006/relationships/image" Target="../media/image46.png"/><Relationship Id="rId62" Type="http://schemas.openxmlformats.org/officeDocument/2006/relationships/image" Target="../media/image54.png"/><Relationship Id="rId1" Type="http://schemas.openxmlformats.org/officeDocument/2006/relationships/image" Target="../media/image2.png"/><Relationship Id="rId6" Type="http://schemas.openxmlformats.org/officeDocument/2006/relationships/image" Target="../media/image7.png"/><Relationship Id="rId15" Type="http://schemas.openxmlformats.org/officeDocument/2006/relationships/image" Target="../media/image16.png"/><Relationship Id="rId23" Type="http://schemas.openxmlformats.org/officeDocument/2006/relationships/hyperlink" Target="https://en.wikipedia.org/wiki/File:Spring_Framework_Logo_2018.svg" TargetMode="External"/><Relationship Id="rId28" Type="http://schemas.openxmlformats.org/officeDocument/2006/relationships/image" Target="../media/image23.png"/><Relationship Id="rId36" Type="http://schemas.openxmlformats.org/officeDocument/2006/relationships/image" Target="../media/image29.png"/><Relationship Id="rId49" Type="http://schemas.openxmlformats.org/officeDocument/2006/relationships/image" Target="../media/image41.png"/><Relationship Id="rId57" Type="http://schemas.openxmlformats.org/officeDocument/2006/relationships/image" Target="../media/image49.png"/><Relationship Id="rId10" Type="http://schemas.openxmlformats.org/officeDocument/2006/relationships/image" Target="../media/image11.png"/><Relationship Id="rId31" Type="http://schemas.openxmlformats.org/officeDocument/2006/relationships/hyperlink" Target="https://zetawiki.com/wiki/%EA%B5%AC%EA%B8%80_kubernetes" TargetMode="External"/><Relationship Id="rId44" Type="http://schemas.openxmlformats.org/officeDocument/2006/relationships/image" Target="../media/image36.png"/><Relationship Id="rId52" Type="http://schemas.openxmlformats.org/officeDocument/2006/relationships/image" Target="../media/image44.png"/><Relationship Id="rId60" Type="http://schemas.openxmlformats.org/officeDocument/2006/relationships/image" Target="../media/image52.png"/><Relationship Id="rId65" Type="http://schemas.openxmlformats.org/officeDocument/2006/relationships/image" Target="../media/image57.png"/><Relationship Id="rId4" Type="http://schemas.openxmlformats.org/officeDocument/2006/relationships/image" Target="../media/image5.png"/><Relationship Id="rId9" Type="http://schemas.openxmlformats.org/officeDocument/2006/relationships/image" Target="../media/image10.png"/><Relationship Id="rId13" Type="http://schemas.openxmlformats.org/officeDocument/2006/relationships/image" Target="../media/image14.png"/><Relationship Id="rId18" Type="http://schemas.openxmlformats.org/officeDocument/2006/relationships/image" Target="../media/image18.png"/><Relationship Id="rId39" Type="http://schemas.openxmlformats.org/officeDocument/2006/relationships/image" Target="../media/image32.png"/><Relationship Id="rId34" Type="http://schemas.openxmlformats.org/officeDocument/2006/relationships/image" Target="../media/image27.png"/><Relationship Id="rId50" Type="http://schemas.openxmlformats.org/officeDocument/2006/relationships/image" Target="../media/image42.png"/><Relationship Id="rId55" Type="http://schemas.openxmlformats.org/officeDocument/2006/relationships/image" Target="../media/image47.png"/></Relationships>
</file>

<file path=xl/drawings/_rels/drawing3.xml.rels><?xml version="1.0" encoding="UTF-8" standalone="yes"?>
<Relationships xmlns="http://schemas.openxmlformats.org/package/2006/relationships"><Relationship Id="rId2" Type="http://schemas.openxmlformats.org/officeDocument/2006/relationships/image" Target="../media/image62.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62.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62.png"/></Relationships>
</file>

<file path=xl/drawings/_rels/drawing6.xml.rels><?xml version="1.0" encoding="UTF-8" standalone="yes"?>
<Relationships xmlns="http://schemas.openxmlformats.org/package/2006/relationships"><Relationship Id="rId1" Type="http://schemas.openxmlformats.org/officeDocument/2006/relationships/image" Target="../media/image63.png"/></Relationships>
</file>

<file path=xl/drawings/_rels/drawing7.xml.rels><?xml version="1.0" encoding="UTF-8" standalone="yes"?>
<Relationships xmlns="http://schemas.openxmlformats.org/package/2006/relationships"><Relationship Id="rId1" Type="http://schemas.openxmlformats.org/officeDocument/2006/relationships/image" Target="../media/image63.png"/></Relationships>
</file>

<file path=xl/drawings/_rels/drawing8.xml.rels><?xml version="1.0" encoding="UTF-8" standalone="yes"?>
<Relationships xmlns="http://schemas.openxmlformats.org/package/2006/relationships"><Relationship Id="rId1" Type="http://schemas.openxmlformats.org/officeDocument/2006/relationships/image" Target="../media/image64.png"/></Relationships>
</file>

<file path=xl/drawings/_rels/drawing9.xml.rels><?xml version="1.0" encoding="UTF-8" standalone="yes"?>
<Relationships xmlns="http://schemas.openxmlformats.org/package/2006/relationships"><Relationship Id="rId1" Type="http://schemas.openxmlformats.org/officeDocument/2006/relationships/image" Target="../media/image6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7.png"/></Relationships>
</file>

<file path=xl/drawings/drawing1.xml><?xml version="1.0" encoding="utf-8"?>
<xdr:wsDr xmlns:xdr="http://schemas.openxmlformats.org/drawingml/2006/spreadsheetDrawing" xmlns:a="http://schemas.openxmlformats.org/drawingml/2006/main">
  <xdr:twoCellAnchor editAs="oneCell">
    <xdr:from>
      <xdr:col>7</xdr:col>
      <xdr:colOff>238126</xdr:colOff>
      <xdr:row>7</xdr:row>
      <xdr:rowOff>22410</xdr:rowOff>
    </xdr:from>
    <xdr:to>
      <xdr:col>7</xdr:col>
      <xdr:colOff>738692</xdr:colOff>
      <xdr:row>7</xdr:row>
      <xdr:rowOff>174763</xdr:rowOff>
    </xdr:to>
    <xdr:pic>
      <xdr:nvPicPr>
        <xdr:cNvPr id="61" name="Imagen 60">
          <a:extLst>
            <a:ext uri="{FF2B5EF4-FFF2-40B4-BE49-F238E27FC236}">
              <a16:creationId xmlns:a16="http://schemas.microsoft.com/office/drawing/2014/main" id="{CD0E8893-C04B-415A-9E08-5061F3BE6CF2}"/>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337" b="23116"/>
        <a:stretch/>
      </xdr:blipFill>
      <xdr:spPr bwMode="auto">
        <a:xfrm>
          <a:off x="8261538" y="2818278"/>
          <a:ext cx="500566" cy="152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393309</xdr:colOff>
      <xdr:row>7</xdr:row>
      <xdr:rowOff>13973</xdr:rowOff>
    </xdr:from>
    <xdr:to>
      <xdr:col>4</xdr:col>
      <xdr:colOff>745191</xdr:colOff>
      <xdr:row>7</xdr:row>
      <xdr:rowOff>170372</xdr:rowOff>
    </xdr:to>
    <xdr:pic>
      <xdr:nvPicPr>
        <xdr:cNvPr id="15" name="Imagen 14">
          <a:extLst>
            <a:ext uri="{FF2B5EF4-FFF2-40B4-BE49-F238E27FC236}">
              <a16:creationId xmlns:a16="http://schemas.microsoft.com/office/drawing/2014/main" id="{D17A2D91-89F0-4D21-B7AD-41D02F4D87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32912" y="2809841"/>
          <a:ext cx="351882" cy="156399"/>
        </a:xfrm>
        <a:prstGeom prst="rect">
          <a:avLst/>
        </a:prstGeom>
      </xdr:spPr>
    </xdr:pic>
    <xdr:clientData/>
  </xdr:twoCellAnchor>
  <xdr:twoCellAnchor editAs="oneCell">
    <xdr:from>
      <xdr:col>4</xdr:col>
      <xdr:colOff>400032</xdr:colOff>
      <xdr:row>5</xdr:row>
      <xdr:rowOff>31062</xdr:rowOff>
    </xdr:from>
    <xdr:to>
      <xdr:col>4</xdr:col>
      <xdr:colOff>733986</xdr:colOff>
      <xdr:row>5</xdr:row>
      <xdr:rowOff>180802</xdr:rowOff>
    </xdr:to>
    <xdr:pic>
      <xdr:nvPicPr>
        <xdr:cNvPr id="9" name="Imagen 8">
          <a:extLst>
            <a:ext uri="{FF2B5EF4-FFF2-40B4-BE49-F238E27FC236}">
              <a16:creationId xmlns:a16="http://schemas.microsoft.com/office/drawing/2014/main" id="{7275E289-2AA5-465F-931F-580B3BD1F6A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39635" y="2255430"/>
          <a:ext cx="333954" cy="149740"/>
        </a:xfrm>
        <a:prstGeom prst="rect">
          <a:avLst/>
        </a:prstGeom>
      </xdr:spPr>
    </xdr:pic>
    <xdr:clientData/>
  </xdr:twoCellAnchor>
  <xdr:twoCellAnchor editAs="oneCell">
    <xdr:from>
      <xdr:col>5</xdr:col>
      <xdr:colOff>257845</xdr:colOff>
      <xdr:row>11</xdr:row>
      <xdr:rowOff>28380</xdr:rowOff>
    </xdr:from>
    <xdr:to>
      <xdr:col>5</xdr:col>
      <xdr:colOff>815806</xdr:colOff>
      <xdr:row>11</xdr:row>
      <xdr:rowOff>184100</xdr:rowOff>
    </xdr:to>
    <xdr:pic>
      <xdr:nvPicPr>
        <xdr:cNvPr id="5" name="Imagen 4">
          <a:extLst>
            <a:ext uri="{FF2B5EF4-FFF2-40B4-BE49-F238E27FC236}">
              <a16:creationId xmlns:a16="http://schemas.microsoft.com/office/drawing/2014/main" id="{E3DEC37E-2EF7-4697-8403-325294A4819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609163" y="3396766"/>
          <a:ext cx="557961" cy="155720"/>
        </a:xfrm>
        <a:prstGeom prst="rect">
          <a:avLst/>
        </a:prstGeom>
      </xdr:spPr>
    </xdr:pic>
    <xdr:clientData/>
  </xdr:twoCellAnchor>
  <xdr:twoCellAnchor editAs="oneCell">
    <xdr:from>
      <xdr:col>5</xdr:col>
      <xdr:colOff>109759</xdr:colOff>
      <xdr:row>11</xdr:row>
      <xdr:rowOff>209365</xdr:rowOff>
    </xdr:from>
    <xdr:to>
      <xdr:col>5</xdr:col>
      <xdr:colOff>1029372</xdr:colOff>
      <xdr:row>12</xdr:row>
      <xdr:rowOff>15425</xdr:rowOff>
    </xdr:to>
    <xdr:pic>
      <xdr:nvPicPr>
        <xdr:cNvPr id="6" name="Imagen 5">
          <a:extLst>
            <a:ext uri="{FF2B5EF4-FFF2-40B4-BE49-F238E27FC236}">
              <a16:creationId xmlns:a16="http://schemas.microsoft.com/office/drawing/2014/main" id="{958FD140-034B-42A5-A623-0F2EF5FCE61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97112" y="3772836"/>
          <a:ext cx="919613" cy="187060"/>
        </a:xfrm>
        <a:prstGeom prst="rect">
          <a:avLst/>
        </a:prstGeom>
      </xdr:spPr>
    </xdr:pic>
    <xdr:clientData/>
  </xdr:twoCellAnchor>
  <xdr:twoCellAnchor editAs="oneCell">
    <xdr:from>
      <xdr:col>7</xdr:col>
      <xdr:colOff>150324</xdr:colOff>
      <xdr:row>10</xdr:row>
      <xdr:rowOff>61004</xdr:rowOff>
    </xdr:from>
    <xdr:to>
      <xdr:col>7</xdr:col>
      <xdr:colOff>873590</xdr:colOff>
      <xdr:row>10</xdr:row>
      <xdr:rowOff>153337</xdr:rowOff>
    </xdr:to>
    <xdr:pic>
      <xdr:nvPicPr>
        <xdr:cNvPr id="7" name="Imagen 6">
          <a:extLst>
            <a:ext uri="{FF2B5EF4-FFF2-40B4-BE49-F238E27FC236}">
              <a16:creationId xmlns:a16="http://schemas.microsoft.com/office/drawing/2014/main" id="{CB8B62EE-6876-461A-A425-9B989BFDE2B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132149" y="3242354"/>
          <a:ext cx="723266" cy="92333"/>
        </a:xfrm>
        <a:prstGeom prst="rect">
          <a:avLst/>
        </a:prstGeom>
      </xdr:spPr>
    </xdr:pic>
    <xdr:clientData/>
  </xdr:twoCellAnchor>
  <xdr:twoCellAnchor editAs="oneCell">
    <xdr:from>
      <xdr:col>5</xdr:col>
      <xdr:colOff>221437</xdr:colOff>
      <xdr:row>15</xdr:row>
      <xdr:rowOff>13497</xdr:rowOff>
    </xdr:from>
    <xdr:to>
      <xdr:col>5</xdr:col>
      <xdr:colOff>934753</xdr:colOff>
      <xdr:row>16</xdr:row>
      <xdr:rowOff>30817</xdr:rowOff>
    </xdr:to>
    <xdr:pic>
      <xdr:nvPicPr>
        <xdr:cNvPr id="8" name="Imagen 7">
          <a:extLst>
            <a:ext uri="{FF2B5EF4-FFF2-40B4-BE49-F238E27FC236}">
              <a16:creationId xmlns:a16="http://schemas.microsoft.com/office/drawing/2014/main" id="{75F144C2-7A87-4788-9887-DBE89880CC2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564962" y="4337847"/>
          <a:ext cx="713316" cy="207820"/>
        </a:xfrm>
        <a:prstGeom prst="rect">
          <a:avLst/>
        </a:prstGeom>
      </xdr:spPr>
    </xdr:pic>
    <xdr:clientData/>
  </xdr:twoCellAnchor>
  <xdr:twoCellAnchor editAs="oneCell">
    <xdr:from>
      <xdr:col>4</xdr:col>
      <xdr:colOff>318779</xdr:colOff>
      <xdr:row>17</xdr:row>
      <xdr:rowOff>330987</xdr:rowOff>
    </xdr:from>
    <xdr:to>
      <xdr:col>4</xdr:col>
      <xdr:colOff>727759</xdr:colOff>
      <xdr:row>17</xdr:row>
      <xdr:rowOff>467343</xdr:rowOff>
    </xdr:to>
    <xdr:pic>
      <xdr:nvPicPr>
        <xdr:cNvPr id="12" name="Imagen 11">
          <a:extLst>
            <a:ext uri="{FF2B5EF4-FFF2-40B4-BE49-F238E27FC236}">
              <a16:creationId xmlns:a16="http://schemas.microsoft.com/office/drawing/2014/main" id="{43B60202-EF4B-4565-BC13-051E9B1ADD9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652779" y="5230409"/>
          <a:ext cx="408980" cy="136356"/>
        </a:xfrm>
        <a:prstGeom prst="rect">
          <a:avLst/>
        </a:prstGeom>
      </xdr:spPr>
    </xdr:pic>
    <xdr:clientData/>
  </xdr:twoCellAnchor>
  <xdr:twoCellAnchor editAs="oneCell">
    <xdr:from>
      <xdr:col>4</xdr:col>
      <xdr:colOff>324416</xdr:colOff>
      <xdr:row>10</xdr:row>
      <xdr:rowOff>9621</xdr:rowOff>
    </xdr:from>
    <xdr:to>
      <xdr:col>4</xdr:col>
      <xdr:colOff>734716</xdr:colOff>
      <xdr:row>10</xdr:row>
      <xdr:rowOff>176518</xdr:rowOff>
    </xdr:to>
    <xdr:pic>
      <xdr:nvPicPr>
        <xdr:cNvPr id="13" name="Imagen 12">
          <a:extLst>
            <a:ext uri="{FF2B5EF4-FFF2-40B4-BE49-F238E27FC236}">
              <a16:creationId xmlns:a16="http://schemas.microsoft.com/office/drawing/2014/main" id="{C9D07060-FB04-4F80-8C6D-B6DCF452761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620191" y="3190971"/>
          <a:ext cx="410300" cy="166897"/>
        </a:xfrm>
        <a:prstGeom prst="rect">
          <a:avLst/>
        </a:prstGeom>
      </xdr:spPr>
    </xdr:pic>
    <xdr:clientData/>
  </xdr:twoCellAnchor>
  <xdr:twoCellAnchor editAs="oneCell">
    <xdr:from>
      <xdr:col>7</xdr:col>
      <xdr:colOff>24896</xdr:colOff>
      <xdr:row>3</xdr:row>
      <xdr:rowOff>148819</xdr:rowOff>
    </xdr:from>
    <xdr:to>
      <xdr:col>8</xdr:col>
      <xdr:colOff>10443</xdr:colOff>
      <xdr:row>5</xdr:row>
      <xdr:rowOff>94596</xdr:rowOff>
    </xdr:to>
    <xdr:pic>
      <xdr:nvPicPr>
        <xdr:cNvPr id="14" name="Imagen 13">
          <a:extLst>
            <a:ext uri="{FF2B5EF4-FFF2-40B4-BE49-F238E27FC236}">
              <a16:creationId xmlns:a16="http://schemas.microsoft.com/office/drawing/2014/main" id="{ED46BDE3-15A6-4EDF-8CE5-16CD824DF42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048308" y="1980981"/>
          <a:ext cx="966061" cy="337983"/>
        </a:xfrm>
        <a:prstGeom prst="rect">
          <a:avLst/>
        </a:prstGeom>
      </xdr:spPr>
    </xdr:pic>
    <xdr:clientData/>
  </xdr:twoCellAnchor>
  <xdr:twoCellAnchor editAs="oneCell">
    <xdr:from>
      <xdr:col>4</xdr:col>
      <xdr:colOff>318450</xdr:colOff>
      <xdr:row>11</xdr:row>
      <xdr:rowOff>111692</xdr:rowOff>
    </xdr:from>
    <xdr:to>
      <xdr:col>4</xdr:col>
      <xdr:colOff>824387</xdr:colOff>
      <xdr:row>11</xdr:row>
      <xdr:rowOff>277860</xdr:rowOff>
    </xdr:to>
    <xdr:pic>
      <xdr:nvPicPr>
        <xdr:cNvPr id="16" name="Imagen 15">
          <a:extLst>
            <a:ext uri="{FF2B5EF4-FFF2-40B4-BE49-F238E27FC236}">
              <a16:creationId xmlns:a16="http://schemas.microsoft.com/office/drawing/2014/main" id="{FE1BCA48-57D0-4725-B5CD-495B232128A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614225" y="3483542"/>
          <a:ext cx="505937" cy="166168"/>
        </a:xfrm>
        <a:prstGeom prst="rect">
          <a:avLst/>
        </a:prstGeom>
      </xdr:spPr>
    </xdr:pic>
    <xdr:clientData/>
  </xdr:twoCellAnchor>
  <xdr:twoCellAnchor editAs="oneCell">
    <xdr:from>
      <xdr:col>7</xdr:col>
      <xdr:colOff>68207</xdr:colOff>
      <xdr:row>13</xdr:row>
      <xdr:rowOff>53100</xdr:rowOff>
    </xdr:from>
    <xdr:to>
      <xdr:col>7</xdr:col>
      <xdr:colOff>949446</xdr:colOff>
      <xdr:row>13</xdr:row>
      <xdr:rowOff>165147</xdr:rowOff>
    </xdr:to>
    <xdr:pic>
      <xdr:nvPicPr>
        <xdr:cNvPr id="17" name="Imagen 16">
          <a:extLst>
            <a:ext uri="{FF2B5EF4-FFF2-40B4-BE49-F238E27FC236}">
              <a16:creationId xmlns:a16="http://schemas.microsoft.com/office/drawing/2014/main" id="{F006F3FF-6AE5-4C8A-944B-111A6949079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050032" y="3996450"/>
          <a:ext cx="881239" cy="112047"/>
        </a:xfrm>
        <a:prstGeom prst="rect">
          <a:avLst/>
        </a:prstGeom>
      </xdr:spPr>
    </xdr:pic>
    <xdr:clientData/>
  </xdr:twoCellAnchor>
  <xdr:twoCellAnchor editAs="oneCell">
    <xdr:from>
      <xdr:col>4</xdr:col>
      <xdr:colOff>292571</xdr:colOff>
      <xdr:row>13</xdr:row>
      <xdr:rowOff>14816</xdr:rowOff>
    </xdr:from>
    <xdr:to>
      <xdr:col>4</xdr:col>
      <xdr:colOff>702871</xdr:colOff>
      <xdr:row>13</xdr:row>
      <xdr:rowOff>181713</xdr:rowOff>
    </xdr:to>
    <xdr:pic>
      <xdr:nvPicPr>
        <xdr:cNvPr id="18" name="Imagen 17">
          <a:extLst>
            <a:ext uri="{FF2B5EF4-FFF2-40B4-BE49-F238E27FC236}">
              <a16:creationId xmlns:a16="http://schemas.microsoft.com/office/drawing/2014/main" id="{3BADAB78-AB3E-4271-8C78-84845E9D416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588346" y="3958166"/>
          <a:ext cx="410300" cy="166897"/>
        </a:xfrm>
        <a:prstGeom prst="rect">
          <a:avLst/>
        </a:prstGeom>
      </xdr:spPr>
    </xdr:pic>
    <xdr:clientData/>
  </xdr:twoCellAnchor>
  <xdr:twoCellAnchor editAs="oneCell">
    <xdr:from>
      <xdr:col>4</xdr:col>
      <xdr:colOff>388746</xdr:colOff>
      <xdr:row>15</xdr:row>
      <xdr:rowOff>28014</xdr:rowOff>
    </xdr:from>
    <xdr:to>
      <xdr:col>4</xdr:col>
      <xdr:colOff>708611</xdr:colOff>
      <xdr:row>15</xdr:row>
      <xdr:rowOff>172839</xdr:rowOff>
    </xdr:to>
    <xdr:pic>
      <xdr:nvPicPr>
        <xdr:cNvPr id="19" name="Imagen 18">
          <a:extLst>
            <a:ext uri="{FF2B5EF4-FFF2-40B4-BE49-F238E27FC236}">
              <a16:creationId xmlns:a16="http://schemas.microsoft.com/office/drawing/2014/main" id="{E8B1BBA5-D0A7-450A-ACE3-78757D784E9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728349" y="4527176"/>
          <a:ext cx="319865" cy="144825"/>
        </a:xfrm>
        <a:prstGeom prst="rect">
          <a:avLst/>
        </a:prstGeom>
      </xdr:spPr>
    </xdr:pic>
    <xdr:clientData/>
  </xdr:twoCellAnchor>
  <xdr:twoCellAnchor editAs="oneCell">
    <xdr:from>
      <xdr:col>4</xdr:col>
      <xdr:colOff>333188</xdr:colOff>
      <xdr:row>17</xdr:row>
      <xdr:rowOff>73994</xdr:rowOff>
    </xdr:from>
    <xdr:to>
      <xdr:col>4</xdr:col>
      <xdr:colOff>726742</xdr:colOff>
      <xdr:row>17</xdr:row>
      <xdr:rowOff>252183</xdr:rowOff>
    </xdr:to>
    <xdr:pic>
      <xdr:nvPicPr>
        <xdr:cNvPr id="20" name="Imagen 19">
          <a:extLst>
            <a:ext uri="{FF2B5EF4-FFF2-40B4-BE49-F238E27FC236}">
              <a16:creationId xmlns:a16="http://schemas.microsoft.com/office/drawing/2014/main" id="{092E4A37-C792-401A-B82C-D0CF5A14059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67188" y="4973416"/>
          <a:ext cx="393554" cy="178189"/>
        </a:xfrm>
        <a:prstGeom prst="rect">
          <a:avLst/>
        </a:prstGeom>
      </xdr:spPr>
    </xdr:pic>
    <xdr:clientData/>
  </xdr:twoCellAnchor>
  <xdr:twoCellAnchor editAs="oneCell">
    <xdr:from>
      <xdr:col>4</xdr:col>
      <xdr:colOff>333485</xdr:colOff>
      <xdr:row>18</xdr:row>
      <xdr:rowOff>109600</xdr:rowOff>
    </xdr:from>
    <xdr:to>
      <xdr:col>4</xdr:col>
      <xdr:colOff>743785</xdr:colOff>
      <xdr:row>18</xdr:row>
      <xdr:rowOff>276497</xdr:rowOff>
    </xdr:to>
    <xdr:pic>
      <xdr:nvPicPr>
        <xdr:cNvPr id="21" name="Imagen 20">
          <a:extLst>
            <a:ext uri="{FF2B5EF4-FFF2-40B4-BE49-F238E27FC236}">
              <a16:creationId xmlns:a16="http://schemas.microsoft.com/office/drawing/2014/main" id="{DE171B6A-715E-4574-B53D-4337A3001C2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667485" y="5509542"/>
          <a:ext cx="410300" cy="166897"/>
        </a:xfrm>
        <a:prstGeom prst="rect">
          <a:avLst/>
        </a:prstGeom>
      </xdr:spPr>
    </xdr:pic>
    <xdr:clientData/>
  </xdr:twoCellAnchor>
  <xdr:twoCellAnchor editAs="oneCell">
    <xdr:from>
      <xdr:col>5</xdr:col>
      <xdr:colOff>480026</xdr:colOff>
      <xdr:row>16</xdr:row>
      <xdr:rowOff>16809</xdr:rowOff>
    </xdr:from>
    <xdr:to>
      <xdr:col>5</xdr:col>
      <xdr:colOff>640554</xdr:colOff>
      <xdr:row>16</xdr:row>
      <xdr:rowOff>186730</xdr:rowOff>
    </xdr:to>
    <xdr:pic>
      <xdr:nvPicPr>
        <xdr:cNvPr id="22" name="Imagen 21" descr="Logotipo, nombre de la empresa&#10;&#10;Descripción generada automáticamente">
          <a:extLst>
            <a:ext uri="{FF2B5EF4-FFF2-40B4-BE49-F238E27FC236}">
              <a16:creationId xmlns:a16="http://schemas.microsoft.com/office/drawing/2014/main" id="{2E1CF687-82C3-4BF9-AE66-C723D6415B5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867379" y="4706471"/>
          <a:ext cx="160528" cy="169921"/>
        </a:xfrm>
        <a:prstGeom prst="rect">
          <a:avLst/>
        </a:prstGeom>
      </xdr:spPr>
    </xdr:pic>
    <xdr:clientData/>
  </xdr:twoCellAnchor>
  <xdr:twoCellAnchor editAs="oneCell">
    <xdr:from>
      <xdr:col>7</xdr:col>
      <xdr:colOff>376672</xdr:colOff>
      <xdr:row>19</xdr:row>
      <xdr:rowOff>73963</xdr:rowOff>
    </xdr:from>
    <xdr:to>
      <xdr:col>7</xdr:col>
      <xdr:colOff>536292</xdr:colOff>
      <xdr:row>19</xdr:row>
      <xdr:rowOff>169495</xdr:rowOff>
    </xdr:to>
    <xdr:pic>
      <xdr:nvPicPr>
        <xdr:cNvPr id="23" name="Imagen 22" descr="Logotipo&#10;&#10;Descripción generada automáticamente">
          <a:extLst>
            <a:ext uri="{FF2B5EF4-FFF2-40B4-BE49-F238E27FC236}">
              <a16:creationId xmlns:a16="http://schemas.microsoft.com/office/drawing/2014/main" id="{E79D575F-0924-47FE-A1C9-3AC60C8CE90E}"/>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837473B0-CC2E-450A-ABE3-18F120FF3D39}">
              <a1611:picAttrSrcUrl xmlns:a1611="http://schemas.microsoft.com/office/drawing/2016/11/main" r:id="rId16"/>
            </a:ext>
          </a:extLst>
        </a:blip>
        <a:stretch>
          <a:fillRect/>
        </a:stretch>
      </xdr:blipFill>
      <xdr:spPr>
        <a:xfrm>
          <a:off x="7358497" y="5160313"/>
          <a:ext cx="159620" cy="95532"/>
        </a:xfrm>
        <a:prstGeom prst="rect">
          <a:avLst/>
        </a:prstGeom>
      </xdr:spPr>
    </xdr:pic>
    <xdr:clientData/>
  </xdr:twoCellAnchor>
  <xdr:twoCellAnchor editAs="oneCell">
    <xdr:from>
      <xdr:col>7</xdr:col>
      <xdr:colOff>10741</xdr:colOff>
      <xdr:row>19</xdr:row>
      <xdr:rowOff>45577</xdr:rowOff>
    </xdr:from>
    <xdr:to>
      <xdr:col>7</xdr:col>
      <xdr:colOff>360574</xdr:colOff>
      <xdr:row>19</xdr:row>
      <xdr:rowOff>161910</xdr:rowOff>
    </xdr:to>
    <xdr:pic>
      <xdr:nvPicPr>
        <xdr:cNvPr id="24" name="Imagen 23">
          <a:extLst>
            <a:ext uri="{FF2B5EF4-FFF2-40B4-BE49-F238E27FC236}">
              <a16:creationId xmlns:a16="http://schemas.microsoft.com/office/drawing/2014/main" id="{91C06E83-DE82-467C-A401-CCF5DF8F85C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992566" y="5131927"/>
          <a:ext cx="349833" cy="116333"/>
        </a:xfrm>
        <a:prstGeom prst="rect">
          <a:avLst/>
        </a:prstGeom>
      </xdr:spPr>
    </xdr:pic>
    <xdr:clientData/>
  </xdr:twoCellAnchor>
  <xdr:twoCellAnchor editAs="oneCell">
    <xdr:from>
      <xdr:col>7</xdr:col>
      <xdr:colOff>537466</xdr:colOff>
      <xdr:row>19</xdr:row>
      <xdr:rowOff>44739</xdr:rowOff>
    </xdr:from>
    <xdr:to>
      <xdr:col>7</xdr:col>
      <xdr:colOff>971309</xdr:colOff>
      <xdr:row>19</xdr:row>
      <xdr:rowOff>154781</xdr:rowOff>
    </xdr:to>
    <xdr:pic>
      <xdr:nvPicPr>
        <xdr:cNvPr id="25" name="Imagen 24" descr="Imagen que contiene dibujo&#10;&#10;Descripción generada automáticamente">
          <a:extLst>
            <a:ext uri="{FF2B5EF4-FFF2-40B4-BE49-F238E27FC236}">
              <a16:creationId xmlns:a16="http://schemas.microsoft.com/office/drawing/2014/main" id="{A0AD41C9-D619-42C5-B3E4-A79C24804A9C}"/>
            </a:ext>
          </a:extLst>
        </xdr:cNvPr>
        <xdr:cNvPicPr>
          <a:picLocks noChangeAspect="1"/>
        </xdr:cNvPicPr>
      </xdr:nvPicPr>
      <xdr:blipFill rotWithShape="1">
        <a:blip xmlns:r="http://schemas.openxmlformats.org/officeDocument/2006/relationships" r:embed="rId18" cstate="print">
          <a:clrChange>
            <a:clrFrom>
              <a:srgbClr val="FFFFFF"/>
            </a:clrFrom>
            <a:clrTo>
              <a:srgbClr val="FFFFFF">
                <a:alpha val="0"/>
              </a:srgbClr>
            </a:clrTo>
          </a:clrChange>
          <a:extLst>
            <a:ext uri="{28A0092B-C50C-407E-A947-70E740481C1C}">
              <a14:useLocalDpi xmlns:a14="http://schemas.microsoft.com/office/drawing/2010/main" val="0"/>
            </a:ext>
            <a:ext uri="{837473B0-CC2E-450A-ABE3-18F120FF3D39}">
              <a1611:picAttrSrcUrl xmlns:a1611="http://schemas.microsoft.com/office/drawing/2016/11/main" r:id="rId19"/>
            </a:ext>
          </a:extLst>
        </a:blip>
        <a:srcRect l="7735" t="18198" r="7065" b="22012"/>
        <a:stretch/>
      </xdr:blipFill>
      <xdr:spPr>
        <a:xfrm>
          <a:off x="7519291" y="5131089"/>
          <a:ext cx="433843" cy="110042"/>
        </a:xfrm>
        <a:prstGeom prst="rect">
          <a:avLst/>
        </a:prstGeom>
      </xdr:spPr>
    </xdr:pic>
    <xdr:clientData/>
  </xdr:twoCellAnchor>
  <xdr:twoCellAnchor editAs="oneCell">
    <xdr:from>
      <xdr:col>7</xdr:col>
      <xdr:colOff>603259</xdr:colOff>
      <xdr:row>21</xdr:row>
      <xdr:rowOff>236932</xdr:rowOff>
    </xdr:from>
    <xdr:to>
      <xdr:col>8</xdr:col>
      <xdr:colOff>22986</xdr:colOff>
      <xdr:row>21</xdr:row>
      <xdr:rowOff>428625</xdr:rowOff>
    </xdr:to>
    <xdr:pic>
      <xdr:nvPicPr>
        <xdr:cNvPr id="26" name="Imagen 25" descr="Imagen que contiene reloj&#10;&#10;Descripción generada automáticamente">
          <a:extLst>
            <a:ext uri="{FF2B5EF4-FFF2-40B4-BE49-F238E27FC236}">
              <a16:creationId xmlns:a16="http://schemas.microsoft.com/office/drawing/2014/main" id="{E596BAC1-243C-4E85-9371-2E0E8FFFBBD3}"/>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837473B0-CC2E-450A-ABE3-18F120FF3D39}">
              <a1611:picAttrSrcUrl xmlns:a1611="http://schemas.microsoft.com/office/drawing/2016/11/main" r:id="rId21"/>
            </a:ext>
          </a:extLst>
        </a:blip>
        <a:stretch>
          <a:fillRect/>
        </a:stretch>
      </xdr:blipFill>
      <xdr:spPr>
        <a:xfrm>
          <a:off x="7585084" y="5894782"/>
          <a:ext cx="400802" cy="191693"/>
        </a:xfrm>
        <a:prstGeom prst="rect">
          <a:avLst/>
        </a:prstGeom>
      </xdr:spPr>
    </xdr:pic>
    <xdr:clientData/>
  </xdr:twoCellAnchor>
  <xdr:twoCellAnchor editAs="oneCell">
    <xdr:from>
      <xdr:col>5</xdr:col>
      <xdr:colOff>176542</xdr:colOff>
      <xdr:row>12</xdr:row>
      <xdr:rowOff>1</xdr:rowOff>
    </xdr:from>
    <xdr:to>
      <xdr:col>5</xdr:col>
      <xdr:colOff>942758</xdr:colOff>
      <xdr:row>13</xdr:row>
      <xdr:rowOff>1673</xdr:rowOff>
    </xdr:to>
    <xdr:pic>
      <xdr:nvPicPr>
        <xdr:cNvPr id="27" name="Imagen 26" descr="Imagen que contiene reloj, dibujo&#10;&#10;Descripción generada automáticamente">
          <a:extLst>
            <a:ext uri="{FF2B5EF4-FFF2-40B4-BE49-F238E27FC236}">
              <a16:creationId xmlns:a16="http://schemas.microsoft.com/office/drawing/2014/main" id="{DC708072-3C3B-46DE-9AA6-D6ADDDA17D56}"/>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837473B0-CC2E-450A-ABE3-18F120FF3D39}">
              <a1611:picAttrSrcUrl xmlns:a1611="http://schemas.microsoft.com/office/drawing/2016/11/main" r:id="rId23"/>
            </a:ext>
          </a:extLst>
        </a:blip>
        <a:stretch>
          <a:fillRect/>
        </a:stretch>
      </xdr:blipFill>
      <xdr:spPr>
        <a:xfrm>
          <a:off x="5520067" y="3752851"/>
          <a:ext cx="766216" cy="192172"/>
        </a:xfrm>
        <a:prstGeom prst="rect">
          <a:avLst/>
        </a:prstGeom>
      </xdr:spPr>
    </xdr:pic>
    <xdr:clientData/>
  </xdr:twoCellAnchor>
  <xdr:twoCellAnchor editAs="oneCell">
    <xdr:from>
      <xdr:col>5</xdr:col>
      <xdr:colOff>488605</xdr:colOff>
      <xdr:row>9</xdr:row>
      <xdr:rowOff>174625</xdr:rowOff>
    </xdr:from>
    <xdr:to>
      <xdr:col>5</xdr:col>
      <xdr:colOff>606702</xdr:colOff>
      <xdr:row>11</xdr:row>
      <xdr:rowOff>6299</xdr:rowOff>
    </xdr:to>
    <xdr:pic>
      <xdr:nvPicPr>
        <xdr:cNvPr id="28" name="Imagen 27">
          <a:extLst>
            <a:ext uri="{FF2B5EF4-FFF2-40B4-BE49-F238E27FC236}">
              <a16:creationId xmlns:a16="http://schemas.microsoft.com/office/drawing/2014/main" id="{AFC7BF10-729C-4F45-B14B-3F102E1CBCFB}"/>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837473B0-CC2E-450A-ABE3-18F120FF3D39}">
              <a1611:picAttrSrcUrl xmlns:a1611="http://schemas.microsoft.com/office/drawing/2016/11/main" r:id="rId25"/>
            </a:ext>
          </a:extLst>
        </a:blip>
        <a:stretch>
          <a:fillRect/>
        </a:stretch>
      </xdr:blipFill>
      <xdr:spPr>
        <a:xfrm>
          <a:off x="5832130" y="3165475"/>
          <a:ext cx="118097" cy="212674"/>
        </a:xfrm>
        <a:prstGeom prst="rect">
          <a:avLst/>
        </a:prstGeom>
      </xdr:spPr>
    </xdr:pic>
    <xdr:clientData/>
  </xdr:twoCellAnchor>
  <xdr:twoCellAnchor editAs="oneCell">
    <xdr:from>
      <xdr:col>5</xdr:col>
      <xdr:colOff>301752</xdr:colOff>
      <xdr:row>17</xdr:row>
      <xdr:rowOff>341583</xdr:rowOff>
    </xdr:from>
    <xdr:to>
      <xdr:col>5</xdr:col>
      <xdr:colOff>761710</xdr:colOff>
      <xdr:row>17</xdr:row>
      <xdr:rowOff>442264</xdr:rowOff>
    </xdr:to>
    <xdr:pic>
      <xdr:nvPicPr>
        <xdr:cNvPr id="29" name="Imagen 28">
          <a:extLst>
            <a:ext uri="{FF2B5EF4-FFF2-40B4-BE49-F238E27FC236}">
              <a16:creationId xmlns:a16="http://schemas.microsoft.com/office/drawing/2014/main" id="{FE0C85DB-A5E3-4FA0-9FD0-AAAF2DD78B9C}"/>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 uri="{837473B0-CC2E-450A-ABE3-18F120FF3D39}">
              <a1611:picAttrSrcUrl xmlns:a1611="http://schemas.microsoft.com/office/drawing/2016/11/main" r:id="rId27"/>
            </a:ext>
          </a:extLst>
        </a:blip>
        <a:stretch>
          <a:fillRect/>
        </a:stretch>
      </xdr:blipFill>
      <xdr:spPr>
        <a:xfrm>
          <a:off x="6683502" y="5241005"/>
          <a:ext cx="459958" cy="100681"/>
        </a:xfrm>
        <a:prstGeom prst="rect">
          <a:avLst/>
        </a:prstGeom>
      </xdr:spPr>
    </xdr:pic>
    <xdr:clientData/>
  </xdr:twoCellAnchor>
  <xdr:twoCellAnchor editAs="oneCell">
    <xdr:from>
      <xdr:col>6</xdr:col>
      <xdr:colOff>580450</xdr:colOff>
      <xdr:row>21</xdr:row>
      <xdr:rowOff>183388</xdr:rowOff>
    </xdr:from>
    <xdr:to>
      <xdr:col>7</xdr:col>
      <xdr:colOff>342284</xdr:colOff>
      <xdr:row>21</xdr:row>
      <xdr:rowOff>477136</xdr:rowOff>
    </xdr:to>
    <xdr:pic>
      <xdr:nvPicPr>
        <xdr:cNvPr id="30" name="Imagen 29" descr="Imagen que contiene señal&#10;&#10;Descripción generada automáticamente">
          <a:extLst>
            <a:ext uri="{FF2B5EF4-FFF2-40B4-BE49-F238E27FC236}">
              <a16:creationId xmlns:a16="http://schemas.microsoft.com/office/drawing/2014/main" id="{18E35D6B-BC12-4F92-B9E7-21ED64F4318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 uri="{837473B0-CC2E-450A-ABE3-18F120FF3D39}">
              <a1611:picAttrSrcUrl xmlns:a1611="http://schemas.microsoft.com/office/drawing/2016/11/main" r:id="rId29"/>
            </a:ext>
          </a:extLst>
        </a:blip>
        <a:stretch>
          <a:fillRect/>
        </a:stretch>
      </xdr:blipFill>
      <xdr:spPr>
        <a:xfrm>
          <a:off x="6971725" y="5841238"/>
          <a:ext cx="352384" cy="293748"/>
        </a:xfrm>
        <a:prstGeom prst="rect">
          <a:avLst/>
        </a:prstGeom>
      </xdr:spPr>
    </xdr:pic>
    <xdr:clientData/>
  </xdr:twoCellAnchor>
  <xdr:twoCellAnchor editAs="oneCell">
    <xdr:from>
      <xdr:col>7</xdr:col>
      <xdr:colOff>330738</xdr:colOff>
      <xdr:row>21</xdr:row>
      <xdr:rowOff>216523</xdr:rowOff>
    </xdr:from>
    <xdr:to>
      <xdr:col>7</xdr:col>
      <xdr:colOff>637217</xdr:colOff>
      <xdr:row>21</xdr:row>
      <xdr:rowOff>443699</xdr:rowOff>
    </xdr:to>
    <xdr:pic>
      <xdr:nvPicPr>
        <xdr:cNvPr id="31" name="Imagen 30">
          <a:extLst>
            <a:ext uri="{FF2B5EF4-FFF2-40B4-BE49-F238E27FC236}">
              <a16:creationId xmlns:a16="http://schemas.microsoft.com/office/drawing/2014/main" id="{80BC4E4C-9332-45A1-9BC6-27DE115811F3}"/>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 uri="{837473B0-CC2E-450A-ABE3-18F120FF3D39}">
              <a1611:picAttrSrcUrl xmlns:a1611="http://schemas.microsoft.com/office/drawing/2016/11/main" r:id="rId31"/>
            </a:ext>
          </a:extLst>
        </a:blip>
        <a:stretch>
          <a:fillRect/>
        </a:stretch>
      </xdr:blipFill>
      <xdr:spPr>
        <a:xfrm>
          <a:off x="7312563" y="5874373"/>
          <a:ext cx="306479" cy="227176"/>
        </a:xfrm>
        <a:prstGeom prst="rect">
          <a:avLst/>
        </a:prstGeom>
      </xdr:spPr>
    </xdr:pic>
    <xdr:clientData/>
  </xdr:twoCellAnchor>
  <xdr:twoCellAnchor editAs="oneCell">
    <xdr:from>
      <xdr:col>5</xdr:col>
      <xdr:colOff>292443</xdr:colOff>
      <xdr:row>18</xdr:row>
      <xdr:rowOff>78120</xdr:rowOff>
    </xdr:from>
    <xdr:to>
      <xdr:col>5</xdr:col>
      <xdr:colOff>813552</xdr:colOff>
      <xdr:row>18</xdr:row>
      <xdr:rowOff>259627</xdr:rowOff>
    </xdr:to>
    <xdr:pic>
      <xdr:nvPicPr>
        <xdr:cNvPr id="33" name="Picture 2">
          <a:extLst>
            <a:ext uri="{FF2B5EF4-FFF2-40B4-BE49-F238E27FC236}">
              <a16:creationId xmlns:a16="http://schemas.microsoft.com/office/drawing/2014/main" id="{7B4E3F91-F446-4758-A051-FBBAD5A816F6}"/>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6674193" y="5478062"/>
          <a:ext cx="521109" cy="1815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26448</xdr:colOff>
      <xdr:row>14</xdr:row>
      <xdr:rowOff>6803</xdr:rowOff>
    </xdr:from>
    <xdr:to>
      <xdr:col>4</xdr:col>
      <xdr:colOff>1013380</xdr:colOff>
      <xdr:row>15</xdr:row>
      <xdr:rowOff>15789</xdr:rowOff>
    </xdr:to>
    <xdr:pic>
      <xdr:nvPicPr>
        <xdr:cNvPr id="34" name="Imagen 33">
          <a:extLst>
            <a:ext uri="{FF2B5EF4-FFF2-40B4-BE49-F238E27FC236}">
              <a16:creationId xmlns:a16="http://schemas.microsoft.com/office/drawing/2014/main" id="{52ACD0B2-48F4-43CE-A539-F85FDFDC7261}"/>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4322223" y="4140653"/>
          <a:ext cx="986932" cy="199486"/>
        </a:xfrm>
        <a:prstGeom prst="rect">
          <a:avLst/>
        </a:prstGeom>
      </xdr:spPr>
    </xdr:pic>
    <xdr:clientData/>
  </xdr:twoCellAnchor>
  <xdr:twoCellAnchor editAs="oneCell">
    <xdr:from>
      <xdr:col>4</xdr:col>
      <xdr:colOff>49777</xdr:colOff>
      <xdr:row>20</xdr:row>
      <xdr:rowOff>89261</xdr:rowOff>
    </xdr:from>
    <xdr:to>
      <xdr:col>4</xdr:col>
      <xdr:colOff>1036709</xdr:colOff>
      <xdr:row>20</xdr:row>
      <xdr:rowOff>288747</xdr:rowOff>
    </xdr:to>
    <xdr:pic>
      <xdr:nvPicPr>
        <xdr:cNvPr id="35" name="Imagen 34">
          <a:extLst>
            <a:ext uri="{FF2B5EF4-FFF2-40B4-BE49-F238E27FC236}">
              <a16:creationId xmlns:a16="http://schemas.microsoft.com/office/drawing/2014/main" id="{86196580-09EC-48E5-B99F-86F54F5BE556}"/>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4345552" y="5366111"/>
          <a:ext cx="986932" cy="199486"/>
        </a:xfrm>
        <a:prstGeom prst="rect">
          <a:avLst/>
        </a:prstGeom>
      </xdr:spPr>
    </xdr:pic>
    <xdr:clientData/>
  </xdr:twoCellAnchor>
  <xdr:twoCellAnchor editAs="oneCell">
    <xdr:from>
      <xdr:col>4</xdr:col>
      <xdr:colOff>57140</xdr:colOff>
      <xdr:row>9</xdr:row>
      <xdr:rowOff>16328</xdr:rowOff>
    </xdr:from>
    <xdr:to>
      <xdr:col>4</xdr:col>
      <xdr:colOff>1044072</xdr:colOff>
      <xdr:row>10</xdr:row>
      <xdr:rowOff>25314</xdr:rowOff>
    </xdr:to>
    <xdr:pic>
      <xdr:nvPicPr>
        <xdr:cNvPr id="36" name="Imagen 35">
          <a:extLst>
            <a:ext uri="{FF2B5EF4-FFF2-40B4-BE49-F238E27FC236}">
              <a16:creationId xmlns:a16="http://schemas.microsoft.com/office/drawing/2014/main" id="{3E5F007C-6037-465E-A2BC-3DEF16758163}"/>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4352915" y="3007178"/>
          <a:ext cx="986932" cy="199486"/>
        </a:xfrm>
        <a:prstGeom prst="rect">
          <a:avLst/>
        </a:prstGeom>
      </xdr:spPr>
    </xdr:pic>
    <xdr:clientData/>
  </xdr:twoCellAnchor>
  <xdr:twoCellAnchor editAs="oneCell">
    <xdr:from>
      <xdr:col>4</xdr:col>
      <xdr:colOff>56082</xdr:colOff>
      <xdr:row>8</xdr:row>
      <xdr:rowOff>4686</xdr:rowOff>
    </xdr:from>
    <xdr:to>
      <xdr:col>4</xdr:col>
      <xdr:colOff>1043014</xdr:colOff>
      <xdr:row>9</xdr:row>
      <xdr:rowOff>13672</xdr:rowOff>
    </xdr:to>
    <xdr:pic>
      <xdr:nvPicPr>
        <xdr:cNvPr id="37" name="Imagen 36">
          <a:extLst>
            <a:ext uri="{FF2B5EF4-FFF2-40B4-BE49-F238E27FC236}">
              <a16:creationId xmlns:a16="http://schemas.microsoft.com/office/drawing/2014/main" id="{A6BE8948-6A3E-4602-87EA-37052A874E2A}"/>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4351857" y="2805036"/>
          <a:ext cx="986932" cy="199486"/>
        </a:xfrm>
        <a:prstGeom prst="rect">
          <a:avLst/>
        </a:prstGeom>
      </xdr:spPr>
    </xdr:pic>
    <xdr:clientData/>
  </xdr:twoCellAnchor>
  <xdr:twoCellAnchor editAs="oneCell">
    <xdr:from>
      <xdr:col>4</xdr:col>
      <xdr:colOff>65607</xdr:colOff>
      <xdr:row>6</xdr:row>
      <xdr:rowOff>104169</xdr:rowOff>
    </xdr:from>
    <xdr:to>
      <xdr:col>5</xdr:col>
      <xdr:colOff>4789</xdr:colOff>
      <xdr:row>6</xdr:row>
      <xdr:rowOff>303655</xdr:rowOff>
    </xdr:to>
    <xdr:pic>
      <xdr:nvPicPr>
        <xdr:cNvPr id="38" name="Imagen 37">
          <a:extLst>
            <a:ext uri="{FF2B5EF4-FFF2-40B4-BE49-F238E27FC236}">
              <a16:creationId xmlns:a16="http://schemas.microsoft.com/office/drawing/2014/main" id="{CF694B7F-BE9E-48C4-A5DD-001A6A816948}"/>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4359795" y="2533044"/>
          <a:ext cx="986932" cy="199486"/>
        </a:xfrm>
        <a:prstGeom prst="rect">
          <a:avLst/>
        </a:prstGeom>
      </xdr:spPr>
    </xdr:pic>
    <xdr:clientData/>
  </xdr:twoCellAnchor>
  <xdr:twoCellAnchor editAs="oneCell">
    <xdr:from>
      <xdr:col>4</xdr:col>
      <xdr:colOff>72534</xdr:colOff>
      <xdr:row>19</xdr:row>
      <xdr:rowOff>11256</xdr:rowOff>
    </xdr:from>
    <xdr:to>
      <xdr:col>4</xdr:col>
      <xdr:colOff>482834</xdr:colOff>
      <xdr:row>19</xdr:row>
      <xdr:rowOff>178153</xdr:rowOff>
    </xdr:to>
    <xdr:pic>
      <xdr:nvPicPr>
        <xdr:cNvPr id="39" name="Imagen 38">
          <a:extLst>
            <a:ext uri="{FF2B5EF4-FFF2-40B4-BE49-F238E27FC236}">
              <a16:creationId xmlns:a16="http://schemas.microsoft.com/office/drawing/2014/main" id="{19B3FD79-CDA1-498B-8C11-5AA1A7D2FDF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368309" y="5097606"/>
          <a:ext cx="410300" cy="166897"/>
        </a:xfrm>
        <a:prstGeom prst="rect">
          <a:avLst/>
        </a:prstGeom>
      </xdr:spPr>
    </xdr:pic>
    <xdr:clientData/>
  </xdr:twoCellAnchor>
  <xdr:twoCellAnchor editAs="oneCell">
    <xdr:from>
      <xdr:col>4</xdr:col>
      <xdr:colOff>522963</xdr:colOff>
      <xdr:row>19</xdr:row>
      <xdr:rowOff>22202</xdr:rowOff>
    </xdr:from>
    <xdr:to>
      <xdr:col>4</xdr:col>
      <xdr:colOff>1029357</xdr:colOff>
      <xdr:row>19</xdr:row>
      <xdr:rowOff>189441</xdr:rowOff>
    </xdr:to>
    <xdr:pic>
      <xdr:nvPicPr>
        <xdr:cNvPr id="40" name="Imagen 39">
          <a:extLst>
            <a:ext uri="{FF2B5EF4-FFF2-40B4-BE49-F238E27FC236}">
              <a16:creationId xmlns:a16="http://schemas.microsoft.com/office/drawing/2014/main" id="{B6DCD182-2DC5-4BB9-BCF0-64428B6E43BC}"/>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4818738" y="5108552"/>
          <a:ext cx="506394" cy="167239"/>
        </a:xfrm>
        <a:prstGeom prst="rect">
          <a:avLst/>
        </a:prstGeom>
      </xdr:spPr>
    </xdr:pic>
    <xdr:clientData/>
  </xdr:twoCellAnchor>
  <xdr:twoCellAnchor editAs="oneCell">
    <xdr:from>
      <xdr:col>4</xdr:col>
      <xdr:colOff>242945</xdr:colOff>
      <xdr:row>16</xdr:row>
      <xdr:rowOff>7074</xdr:rowOff>
    </xdr:from>
    <xdr:to>
      <xdr:col>4</xdr:col>
      <xdr:colOff>816232</xdr:colOff>
      <xdr:row>16</xdr:row>
      <xdr:rowOff>181093</xdr:rowOff>
    </xdr:to>
    <xdr:pic>
      <xdr:nvPicPr>
        <xdr:cNvPr id="41" name="Imagen 40">
          <a:extLst>
            <a:ext uri="{FF2B5EF4-FFF2-40B4-BE49-F238E27FC236}">
              <a16:creationId xmlns:a16="http://schemas.microsoft.com/office/drawing/2014/main" id="{1A62CDC6-77DD-459D-9C2A-B01964BC7D3E}"/>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4538720" y="4521924"/>
          <a:ext cx="573287" cy="1740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158749</xdr:colOff>
      <xdr:row>16</xdr:row>
      <xdr:rowOff>28514</xdr:rowOff>
    </xdr:from>
    <xdr:to>
      <xdr:col>7</xdr:col>
      <xdr:colOff>308162</xdr:colOff>
      <xdr:row>16</xdr:row>
      <xdr:rowOff>178594</xdr:rowOff>
    </xdr:to>
    <xdr:pic>
      <xdr:nvPicPr>
        <xdr:cNvPr id="42" name="Imagen 41">
          <a:extLst>
            <a:ext uri="{FF2B5EF4-FFF2-40B4-BE49-F238E27FC236}">
              <a16:creationId xmlns:a16="http://schemas.microsoft.com/office/drawing/2014/main" id="{960692F1-7A57-495E-A083-B6DC2D8593C1}"/>
            </a:ext>
          </a:extLst>
        </xdr:cNvPr>
        <xdr:cNvPicPr>
          <a:picLocks noChangeAspect="1"/>
        </xdr:cNvPicPr>
      </xdr:nvPicPr>
      <xdr:blipFill>
        <a:blip xmlns:r="http://schemas.openxmlformats.org/officeDocument/2006/relationships" r:embed="rId36"/>
        <a:stretch>
          <a:fillRect/>
        </a:stretch>
      </xdr:blipFill>
      <xdr:spPr>
        <a:xfrm>
          <a:off x="8182161" y="4718176"/>
          <a:ext cx="149413" cy="150080"/>
        </a:xfrm>
        <a:prstGeom prst="rect">
          <a:avLst/>
        </a:prstGeom>
      </xdr:spPr>
    </xdr:pic>
    <xdr:clientData/>
  </xdr:twoCellAnchor>
  <xdr:twoCellAnchor editAs="oneCell">
    <xdr:from>
      <xdr:col>4</xdr:col>
      <xdr:colOff>79365</xdr:colOff>
      <xdr:row>12</xdr:row>
      <xdr:rowOff>15876</xdr:rowOff>
    </xdr:from>
    <xdr:to>
      <xdr:col>4</xdr:col>
      <xdr:colOff>965754</xdr:colOff>
      <xdr:row>12</xdr:row>
      <xdr:rowOff>182000</xdr:rowOff>
    </xdr:to>
    <xdr:pic>
      <xdr:nvPicPr>
        <xdr:cNvPr id="43" name="Imagen 42">
          <a:extLst>
            <a:ext uri="{FF2B5EF4-FFF2-40B4-BE49-F238E27FC236}">
              <a16:creationId xmlns:a16="http://schemas.microsoft.com/office/drawing/2014/main" id="{F7E1DBB3-B893-4A67-AA00-379528C34373}"/>
            </a:ext>
          </a:extLst>
        </xdr:cNvPr>
        <xdr:cNvPicPr>
          <a:picLocks noChangeAspect="1" noChangeArrowheads="1"/>
        </xdr:cNvPicPr>
      </xdr:nvPicPr>
      <xdr:blipFill rotWithShape="1">
        <a:blip xmlns:r="http://schemas.openxmlformats.org/officeDocument/2006/relationships" r:embed="rId37" cstate="print">
          <a:extLst>
            <a:ext uri="{28A0092B-C50C-407E-A947-70E740481C1C}">
              <a14:useLocalDpi xmlns:a14="http://schemas.microsoft.com/office/drawing/2010/main" val="0"/>
            </a:ext>
          </a:extLst>
        </a:blip>
        <a:srcRect t="34164" b="33908"/>
        <a:stretch/>
      </xdr:blipFill>
      <xdr:spPr bwMode="auto">
        <a:xfrm>
          <a:off x="4375140" y="3768726"/>
          <a:ext cx="886389" cy="1661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58567</xdr:colOff>
      <xdr:row>4</xdr:row>
      <xdr:rowOff>1879</xdr:rowOff>
    </xdr:from>
    <xdr:to>
      <xdr:col>4</xdr:col>
      <xdr:colOff>1045499</xdr:colOff>
      <xdr:row>5</xdr:row>
      <xdr:rowOff>10865</xdr:rowOff>
    </xdr:to>
    <xdr:pic>
      <xdr:nvPicPr>
        <xdr:cNvPr id="44" name="Imagen 43">
          <a:extLst>
            <a:ext uri="{FF2B5EF4-FFF2-40B4-BE49-F238E27FC236}">
              <a16:creationId xmlns:a16="http://schemas.microsoft.com/office/drawing/2014/main" id="{458161DC-EBF3-478F-BB55-889C8AB6B463}"/>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4354342" y="2040229"/>
          <a:ext cx="986932" cy="199486"/>
        </a:xfrm>
        <a:prstGeom prst="rect">
          <a:avLst/>
        </a:prstGeom>
      </xdr:spPr>
    </xdr:pic>
    <xdr:clientData/>
  </xdr:twoCellAnchor>
  <xdr:twoCellAnchor editAs="oneCell">
    <xdr:from>
      <xdr:col>7</xdr:col>
      <xdr:colOff>370993</xdr:colOff>
      <xdr:row>2</xdr:row>
      <xdr:rowOff>33618</xdr:rowOff>
    </xdr:from>
    <xdr:to>
      <xdr:col>7</xdr:col>
      <xdr:colOff>677955</xdr:colOff>
      <xdr:row>2</xdr:row>
      <xdr:rowOff>180583</xdr:rowOff>
    </xdr:to>
    <xdr:pic>
      <xdr:nvPicPr>
        <xdr:cNvPr id="45" name="Imagen 44">
          <a:extLst>
            <a:ext uri="{FF2B5EF4-FFF2-40B4-BE49-F238E27FC236}">
              <a16:creationId xmlns:a16="http://schemas.microsoft.com/office/drawing/2014/main" id="{822FBDA5-F6D2-4800-ABA5-8F4EB0B5B5B2}"/>
            </a:ext>
          </a:extLst>
        </xdr:cNvPr>
        <xdr:cNvPicPr>
          <a:picLocks noChangeAspect="1"/>
        </xdr:cNvPicPr>
      </xdr:nvPicPr>
      <xdr:blipFill rotWithShape="1">
        <a:blip xmlns:r="http://schemas.openxmlformats.org/officeDocument/2006/relationships" r:embed="rId38" cstate="print">
          <a:duotone>
            <a:prstClr val="black"/>
            <a:schemeClr val="tx2">
              <a:tint val="45000"/>
              <a:satMod val="400000"/>
            </a:schemeClr>
          </a:duotone>
          <a:extLst>
            <a:ext uri="{28A0092B-C50C-407E-A947-70E740481C1C}">
              <a14:useLocalDpi xmlns:a14="http://schemas.microsoft.com/office/drawing/2010/main" val="0"/>
            </a:ext>
          </a:extLst>
        </a:blip>
        <a:srcRect t="18739" b="34781"/>
        <a:stretch/>
      </xdr:blipFill>
      <xdr:spPr>
        <a:xfrm>
          <a:off x="8394405" y="1675280"/>
          <a:ext cx="306962" cy="146965"/>
        </a:xfrm>
        <a:prstGeom prst="rect">
          <a:avLst/>
        </a:prstGeom>
      </xdr:spPr>
    </xdr:pic>
    <xdr:clientData/>
  </xdr:twoCellAnchor>
  <xdr:twoCellAnchor editAs="oneCell">
    <xdr:from>
      <xdr:col>5</xdr:col>
      <xdr:colOff>291185</xdr:colOff>
      <xdr:row>17</xdr:row>
      <xdr:rowOff>113493</xdr:rowOff>
    </xdr:from>
    <xdr:to>
      <xdr:col>5</xdr:col>
      <xdr:colOff>736349</xdr:colOff>
      <xdr:row>17</xdr:row>
      <xdr:rowOff>249141</xdr:rowOff>
    </xdr:to>
    <xdr:pic>
      <xdr:nvPicPr>
        <xdr:cNvPr id="46" name="Imagen 45">
          <a:extLst>
            <a:ext uri="{FF2B5EF4-FFF2-40B4-BE49-F238E27FC236}">
              <a16:creationId xmlns:a16="http://schemas.microsoft.com/office/drawing/2014/main" id="{C37B0997-A2E7-4BBE-B960-F311FFD1C89F}"/>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6672935" y="5012915"/>
          <a:ext cx="445164" cy="135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130728</xdr:colOff>
      <xdr:row>23</xdr:row>
      <xdr:rowOff>125638</xdr:rowOff>
    </xdr:from>
    <xdr:to>
      <xdr:col>6</xdr:col>
      <xdr:colOff>464617</xdr:colOff>
      <xdr:row>25</xdr:row>
      <xdr:rowOff>72342</xdr:rowOff>
    </xdr:to>
    <xdr:pic>
      <xdr:nvPicPr>
        <xdr:cNvPr id="51" name="Imagen 50">
          <a:extLst>
            <a:ext uri="{FF2B5EF4-FFF2-40B4-BE49-F238E27FC236}">
              <a16:creationId xmlns:a16="http://schemas.microsoft.com/office/drawing/2014/main" id="{905B30CB-B14D-4D4F-B372-E2954FE31474}"/>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6522003" y="6507388"/>
          <a:ext cx="333889" cy="327704"/>
        </a:xfrm>
        <a:prstGeom prst="rect">
          <a:avLst/>
        </a:prstGeom>
      </xdr:spPr>
    </xdr:pic>
    <xdr:clientData/>
  </xdr:twoCellAnchor>
  <xdr:twoCellAnchor editAs="oneCell">
    <xdr:from>
      <xdr:col>6</xdr:col>
      <xdr:colOff>585513</xdr:colOff>
      <xdr:row>6</xdr:row>
      <xdr:rowOff>100200</xdr:rowOff>
    </xdr:from>
    <xdr:to>
      <xdr:col>8</xdr:col>
      <xdr:colOff>5716</xdr:colOff>
      <xdr:row>6</xdr:row>
      <xdr:rowOff>299686</xdr:rowOff>
    </xdr:to>
    <xdr:pic>
      <xdr:nvPicPr>
        <xdr:cNvPr id="57" name="Imagen 56">
          <a:extLst>
            <a:ext uri="{FF2B5EF4-FFF2-40B4-BE49-F238E27FC236}">
              <a16:creationId xmlns:a16="http://schemas.microsoft.com/office/drawing/2014/main" id="{334E6D1D-82E4-4E7E-B098-CDB9D845E7DA}"/>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8020616" y="2515068"/>
          <a:ext cx="989026" cy="199486"/>
        </a:xfrm>
        <a:prstGeom prst="rect">
          <a:avLst/>
        </a:prstGeom>
      </xdr:spPr>
    </xdr:pic>
    <xdr:clientData/>
  </xdr:twoCellAnchor>
  <xdr:twoCellAnchor editAs="oneCell">
    <xdr:from>
      <xdr:col>7</xdr:col>
      <xdr:colOff>7664</xdr:colOff>
      <xdr:row>7</xdr:row>
      <xdr:rowOff>189100</xdr:rowOff>
    </xdr:from>
    <xdr:to>
      <xdr:col>8</xdr:col>
      <xdr:colOff>16118</xdr:colOff>
      <xdr:row>9</xdr:row>
      <xdr:rowOff>5999</xdr:rowOff>
    </xdr:to>
    <xdr:pic>
      <xdr:nvPicPr>
        <xdr:cNvPr id="62" name="Imagen 61">
          <a:extLst>
            <a:ext uri="{FF2B5EF4-FFF2-40B4-BE49-F238E27FC236}">
              <a16:creationId xmlns:a16="http://schemas.microsoft.com/office/drawing/2014/main" id="{8A46E3CE-B1A3-43FA-BF80-65ABC4016249}"/>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6989489" y="2798950"/>
          <a:ext cx="989529" cy="199486"/>
        </a:xfrm>
        <a:prstGeom prst="rect">
          <a:avLst/>
        </a:prstGeom>
      </xdr:spPr>
    </xdr:pic>
    <xdr:clientData/>
  </xdr:twoCellAnchor>
  <xdr:twoCellAnchor editAs="oneCell">
    <xdr:from>
      <xdr:col>7</xdr:col>
      <xdr:colOff>13220</xdr:colOff>
      <xdr:row>8</xdr:row>
      <xdr:rowOff>186719</xdr:rowOff>
    </xdr:from>
    <xdr:to>
      <xdr:col>8</xdr:col>
      <xdr:colOff>21107</xdr:colOff>
      <xdr:row>10</xdr:row>
      <xdr:rowOff>5205</xdr:rowOff>
    </xdr:to>
    <xdr:pic>
      <xdr:nvPicPr>
        <xdr:cNvPr id="63" name="Imagen 62">
          <a:extLst>
            <a:ext uri="{FF2B5EF4-FFF2-40B4-BE49-F238E27FC236}">
              <a16:creationId xmlns:a16="http://schemas.microsoft.com/office/drawing/2014/main" id="{262C28BF-2EA0-4E7F-BCAC-FC78B787DEEC}"/>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8036632" y="3178690"/>
          <a:ext cx="988401" cy="199486"/>
        </a:xfrm>
        <a:prstGeom prst="rect">
          <a:avLst/>
        </a:prstGeom>
      </xdr:spPr>
    </xdr:pic>
    <xdr:clientData/>
  </xdr:twoCellAnchor>
  <xdr:twoCellAnchor editAs="oneCell">
    <xdr:from>
      <xdr:col>7</xdr:col>
      <xdr:colOff>235952</xdr:colOff>
      <xdr:row>11</xdr:row>
      <xdr:rowOff>97168</xdr:rowOff>
    </xdr:from>
    <xdr:to>
      <xdr:col>7</xdr:col>
      <xdr:colOff>817114</xdr:colOff>
      <xdr:row>11</xdr:row>
      <xdr:rowOff>289718</xdr:rowOff>
    </xdr:to>
    <xdr:pic>
      <xdr:nvPicPr>
        <xdr:cNvPr id="64" name="Imagen 63">
          <a:extLst>
            <a:ext uri="{FF2B5EF4-FFF2-40B4-BE49-F238E27FC236}">
              <a16:creationId xmlns:a16="http://schemas.microsoft.com/office/drawing/2014/main" id="{70C123D9-E48F-4C4B-810E-335D90DBF0E6}"/>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7217777" y="3469018"/>
          <a:ext cx="581162" cy="192550"/>
        </a:xfrm>
        <a:prstGeom prst="rect">
          <a:avLst/>
        </a:prstGeom>
      </xdr:spPr>
    </xdr:pic>
    <xdr:clientData/>
  </xdr:twoCellAnchor>
  <xdr:twoCellAnchor editAs="oneCell">
    <xdr:from>
      <xdr:col>7</xdr:col>
      <xdr:colOff>177060</xdr:colOff>
      <xdr:row>12</xdr:row>
      <xdr:rowOff>346</xdr:rowOff>
    </xdr:from>
    <xdr:to>
      <xdr:col>7</xdr:col>
      <xdr:colOff>943276</xdr:colOff>
      <xdr:row>13</xdr:row>
      <xdr:rowOff>2018</xdr:rowOff>
    </xdr:to>
    <xdr:pic>
      <xdr:nvPicPr>
        <xdr:cNvPr id="65" name="Imagen 64" descr="Imagen que contiene reloj, dibujo&#10;&#10;Descripción generada automáticamente">
          <a:extLst>
            <a:ext uri="{FF2B5EF4-FFF2-40B4-BE49-F238E27FC236}">
              <a16:creationId xmlns:a16="http://schemas.microsoft.com/office/drawing/2014/main" id="{2218EB4E-1FE5-4972-973A-FA3F51CD7A2E}"/>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837473B0-CC2E-450A-ABE3-18F120FF3D39}">
              <a1611:picAttrSrcUrl xmlns:a1611="http://schemas.microsoft.com/office/drawing/2016/11/main" r:id="rId23"/>
            </a:ext>
          </a:extLst>
        </a:blip>
        <a:stretch>
          <a:fillRect/>
        </a:stretch>
      </xdr:blipFill>
      <xdr:spPr>
        <a:xfrm>
          <a:off x="7158885" y="3753196"/>
          <a:ext cx="766216" cy="192172"/>
        </a:xfrm>
        <a:prstGeom prst="rect">
          <a:avLst/>
        </a:prstGeom>
      </xdr:spPr>
    </xdr:pic>
    <xdr:clientData/>
  </xdr:twoCellAnchor>
  <xdr:twoCellAnchor editAs="oneCell">
    <xdr:from>
      <xdr:col>5</xdr:col>
      <xdr:colOff>256570</xdr:colOff>
      <xdr:row>13</xdr:row>
      <xdr:rowOff>17205</xdr:rowOff>
    </xdr:from>
    <xdr:to>
      <xdr:col>5</xdr:col>
      <xdr:colOff>834837</xdr:colOff>
      <xdr:row>13</xdr:row>
      <xdr:rowOff>177754</xdr:rowOff>
    </xdr:to>
    <xdr:pic>
      <xdr:nvPicPr>
        <xdr:cNvPr id="66" name="Imagen 65">
          <a:extLst>
            <a:ext uri="{FF2B5EF4-FFF2-40B4-BE49-F238E27FC236}">
              <a16:creationId xmlns:a16="http://schemas.microsoft.com/office/drawing/2014/main" id="{852D1198-06E8-4CC5-9C94-957CBEA8715B}"/>
            </a:ext>
          </a:extLst>
        </xdr:cNvPr>
        <xdr:cNvPicPr>
          <a:picLocks noChangeAspect="1"/>
        </xdr:cNvPicPr>
      </xdr:nvPicPr>
      <xdr:blipFill>
        <a:blip xmlns:r="http://schemas.openxmlformats.org/officeDocument/2006/relationships" r:embed="rId42">
          <a:extLst>
            <a:ext uri="{BEBA8EAE-BF5A-486C-A8C5-ECC9F3942E4B}">
              <a14:imgProps xmlns:a14="http://schemas.microsoft.com/office/drawing/2010/main">
                <a14:imgLayer r:embed="rId43">
                  <a14:imgEffect>
                    <a14:sharpenSoften amount="50000"/>
                  </a14:imgEffect>
                  <a14:imgEffect>
                    <a14:brightnessContrast bright="40000" contrast="-40000"/>
                  </a14:imgEffect>
                </a14:imgLayer>
              </a14:imgProps>
            </a:ext>
          </a:extLst>
        </a:blip>
        <a:stretch>
          <a:fillRect/>
        </a:stretch>
      </xdr:blipFill>
      <xdr:spPr>
        <a:xfrm>
          <a:off x="6643923" y="4135367"/>
          <a:ext cx="578267" cy="160549"/>
        </a:xfrm>
        <a:prstGeom prst="rect">
          <a:avLst/>
        </a:prstGeom>
      </xdr:spPr>
    </xdr:pic>
    <xdr:clientData/>
  </xdr:twoCellAnchor>
  <xdr:twoCellAnchor editAs="oneCell">
    <xdr:from>
      <xdr:col>7</xdr:col>
      <xdr:colOff>6605</xdr:colOff>
      <xdr:row>13</xdr:row>
      <xdr:rowOff>189365</xdr:rowOff>
    </xdr:from>
    <xdr:to>
      <xdr:col>8</xdr:col>
      <xdr:colOff>15059</xdr:colOff>
      <xdr:row>15</xdr:row>
      <xdr:rowOff>7851</xdr:rowOff>
    </xdr:to>
    <xdr:pic>
      <xdr:nvPicPr>
        <xdr:cNvPr id="67" name="Imagen 66">
          <a:extLst>
            <a:ext uri="{FF2B5EF4-FFF2-40B4-BE49-F238E27FC236}">
              <a16:creationId xmlns:a16="http://schemas.microsoft.com/office/drawing/2014/main" id="{F008EDDD-CE7C-4D57-92A1-ED2FCFE7ECE2}"/>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6988430" y="4132715"/>
          <a:ext cx="989529" cy="199486"/>
        </a:xfrm>
        <a:prstGeom prst="rect">
          <a:avLst/>
        </a:prstGeom>
      </xdr:spPr>
    </xdr:pic>
    <xdr:clientData/>
  </xdr:twoCellAnchor>
  <xdr:twoCellAnchor editAs="oneCell">
    <xdr:from>
      <xdr:col>7</xdr:col>
      <xdr:colOff>254001</xdr:colOff>
      <xdr:row>15</xdr:row>
      <xdr:rowOff>127001</xdr:rowOff>
    </xdr:from>
    <xdr:to>
      <xdr:col>8</xdr:col>
      <xdr:colOff>31699</xdr:colOff>
      <xdr:row>17</xdr:row>
      <xdr:rowOff>64898</xdr:rowOff>
    </xdr:to>
    <xdr:pic>
      <xdr:nvPicPr>
        <xdr:cNvPr id="68" name="Imagen 67">
          <a:extLst>
            <a:ext uri="{FF2B5EF4-FFF2-40B4-BE49-F238E27FC236}">
              <a16:creationId xmlns:a16="http://schemas.microsoft.com/office/drawing/2014/main" id="{FF6CDBBC-0E4D-47B0-92BF-A88204D3EC70}"/>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7235826" y="4451351"/>
          <a:ext cx="758773" cy="318897"/>
        </a:xfrm>
        <a:prstGeom prst="rect">
          <a:avLst/>
        </a:prstGeom>
      </xdr:spPr>
    </xdr:pic>
    <xdr:clientData/>
  </xdr:twoCellAnchor>
  <xdr:twoCellAnchor editAs="oneCell">
    <xdr:from>
      <xdr:col>7</xdr:col>
      <xdr:colOff>33771</xdr:colOff>
      <xdr:row>18</xdr:row>
      <xdr:rowOff>135284</xdr:rowOff>
    </xdr:from>
    <xdr:to>
      <xdr:col>7</xdr:col>
      <xdr:colOff>915010</xdr:colOff>
      <xdr:row>18</xdr:row>
      <xdr:rowOff>247331</xdr:rowOff>
    </xdr:to>
    <xdr:pic>
      <xdr:nvPicPr>
        <xdr:cNvPr id="69" name="Imagen 68">
          <a:extLst>
            <a:ext uri="{FF2B5EF4-FFF2-40B4-BE49-F238E27FC236}">
              <a16:creationId xmlns:a16="http://schemas.microsoft.com/office/drawing/2014/main" id="{9D8D1918-75E4-4B92-8699-636C8D7426D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056752" y="5535226"/>
          <a:ext cx="881239" cy="112047"/>
        </a:xfrm>
        <a:prstGeom prst="rect">
          <a:avLst/>
        </a:prstGeom>
      </xdr:spPr>
    </xdr:pic>
    <xdr:clientData/>
  </xdr:twoCellAnchor>
  <xdr:twoCellAnchor editAs="oneCell">
    <xdr:from>
      <xdr:col>7</xdr:col>
      <xdr:colOff>85725</xdr:colOff>
      <xdr:row>23</xdr:row>
      <xdr:rowOff>19051</xdr:rowOff>
    </xdr:from>
    <xdr:to>
      <xdr:col>7</xdr:col>
      <xdr:colOff>887446</xdr:colOff>
      <xdr:row>24</xdr:row>
      <xdr:rowOff>19051</xdr:rowOff>
    </xdr:to>
    <xdr:pic>
      <xdr:nvPicPr>
        <xdr:cNvPr id="70" name="Imagen 69">
          <a:extLst>
            <a:ext uri="{FF2B5EF4-FFF2-40B4-BE49-F238E27FC236}">
              <a16:creationId xmlns:a16="http://schemas.microsoft.com/office/drawing/2014/main" id="{C1EEAA5C-39C7-4DD4-BEEC-40573702C2ED}"/>
            </a:ext>
          </a:extLst>
        </xdr:cNvPr>
        <xdr:cNvPicPr>
          <a:picLocks noChangeAspect="1"/>
        </xdr:cNvPicPr>
      </xdr:nvPicPr>
      <xdr:blipFill>
        <a:blip xmlns:r="http://schemas.openxmlformats.org/officeDocument/2006/relationships" r:embed="rId45">
          <a:clrChange>
            <a:clrFrom>
              <a:srgbClr val="E6E6E6"/>
            </a:clrFrom>
            <a:clrTo>
              <a:srgbClr val="E6E6E6">
                <a:alpha val="0"/>
              </a:srgbClr>
            </a:clrTo>
          </a:clrChange>
        </a:blip>
        <a:stretch>
          <a:fillRect/>
        </a:stretch>
      </xdr:blipFill>
      <xdr:spPr>
        <a:xfrm>
          <a:off x="7067550" y="6400801"/>
          <a:ext cx="801721" cy="190500"/>
        </a:xfrm>
        <a:prstGeom prst="rect">
          <a:avLst/>
        </a:prstGeom>
      </xdr:spPr>
    </xdr:pic>
    <xdr:clientData/>
  </xdr:twoCellAnchor>
  <xdr:twoCellAnchor editAs="oneCell">
    <xdr:from>
      <xdr:col>7</xdr:col>
      <xdr:colOff>173703</xdr:colOff>
      <xdr:row>15</xdr:row>
      <xdr:rowOff>11753</xdr:rowOff>
    </xdr:from>
    <xdr:to>
      <xdr:col>7</xdr:col>
      <xdr:colOff>887019</xdr:colOff>
      <xdr:row>16</xdr:row>
      <xdr:rowOff>29073</xdr:rowOff>
    </xdr:to>
    <xdr:pic>
      <xdr:nvPicPr>
        <xdr:cNvPr id="71" name="Imagen 70">
          <a:extLst>
            <a:ext uri="{FF2B5EF4-FFF2-40B4-BE49-F238E27FC236}">
              <a16:creationId xmlns:a16="http://schemas.microsoft.com/office/drawing/2014/main" id="{BA73C373-4F87-47AA-BA14-8703D906EBC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155528" y="4336103"/>
          <a:ext cx="713316" cy="207820"/>
        </a:xfrm>
        <a:prstGeom prst="rect">
          <a:avLst/>
        </a:prstGeom>
      </xdr:spPr>
    </xdr:pic>
    <xdr:clientData/>
  </xdr:twoCellAnchor>
  <xdr:twoCellAnchor editAs="oneCell">
    <xdr:from>
      <xdr:col>7</xdr:col>
      <xdr:colOff>309562</xdr:colOff>
      <xdr:row>17</xdr:row>
      <xdr:rowOff>99194</xdr:rowOff>
    </xdr:from>
    <xdr:to>
      <xdr:col>7</xdr:col>
      <xdr:colOff>711787</xdr:colOff>
      <xdr:row>17</xdr:row>
      <xdr:rowOff>234639</xdr:rowOff>
    </xdr:to>
    <xdr:pic>
      <xdr:nvPicPr>
        <xdr:cNvPr id="72" name="Gráfico 71">
          <a:extLst>
            <a:ext uri="{FF2B5EF4-FFF2-40B4-BE49-F238E27FC236}">
              <a16:creationId xmlns:a16="http://schemas.microsoft.com/office/drawing/2014/main" id="{26762BBC-FECB-4FF7-9DFE-BCD21C45CC18}"/>
            </a:ext>
          </a:extLst>
        </xdr:cNvPr>
        <xdr:cNvPicPr>
          <a:picLocks noChangeAspect="1"/>
        </xdr:cNvPicPr>
      </xdr:nvPicPr>
      <xdr:blipFill>
        <a:blip xmlns:r="http://schemas.openxmlformats.org/officeDocument/2006/relationships" r:embed="rId46">
          <a:extLst>
            <a:ext uri="{96DAC541-7B7A-43D3-8B79-37D633B846F1}">
              <asvg:svgBlip xmlns:asvg="http://schemas.microsoft.com/office/drawing/2016/SVG/main" r:embed="rId47"/>
            </a:ext>
          </a:extLst>
        </a:blip>
        <a:stretch>
          <a:fillRect/>
        </a:stretch>
      </xdr:blipFill>
      <xdr:spPr>
        <a:xfrm>
          <a:off x="8328421" y="4998616"/>
          <a:ext cx="402225" cy="135445"/>
        </a:xfrm>
        <a:prstGeom prst="rect">
          <a:avLst/>
        </a:prstGeom>
      </xdr:spPr>
    </xdr:pic>
    <xdr:clientData/>
  </xdr:twoCellAnchor>
  <xdr:twoCellAnchor editAs="oneCell">
    <xdr:from>
      <xdr:col>7</xdr:col>
      <xdr:colOff>225591</xdr:colOff>
      <xdr:row>17</xdr:row>
      <xdr:rowOff>355730</xdr:rowOff>
    </xdr:from>
    <xdr:to>
      <xdr:col>7</xdr:col>
      <xdr:colOff>522540</xdr:colOff>
      <xdr:row>17</xdr:row>
      <xdr:rowOff>454161</xdr:rowOff>
    </xdr:to>
    <xdr:pic>
      <xdr:nvPicPr>
        <xdr:cNvPr id="73" name="Imagen 72">
          <a:extLst>
            <a:ext uri="{FF2B5EF4-FFF2-40B4-BE49-F238E27FC236}">
              <a16:creationId xmlns:a16="http://schemas.microsoft.com/office/drawing/2014/main" id="{21D815EC-1948-4AAF-80CD-988999C4ACB1}"/>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8244450" y="5255152"/>
          <a:ext cx="296949" cy="98431"/>
        </a:xfrm>
        <a:prstGeom prst="rect">
          <a:avLst/>
        </a:prstGeom>
      </xdr:spPr>
    </xdr:pic>
    <xdr:clientData/>
  </xdr:twoCellAnchor>
  <xdr:twoCellAnchor editAs="oneCell">
    <xdr:from>
      <xdr:col>7</xdr:col>
      <xdr:colOff>576201</xdr:colOff>
      <xdr:row>17</xdr:row>
      <xdr:rowOff>288683</xdr:rowOff>
    </xdr:from>
    <xdr:to>
      <xdr:col>7</xdr:col>
      <xdr:colOff>745855</xdr:colOff>
      <xdr:row>17</xdr:row>
      <xdr:rowOff>484195</xdr:rowOff>
    </xdr:to>
    <xdr:pic>
      <xdr:nvPicPr>
        <xdr:cNvPr id="74" name="Imagen 73">
          <a:extLst>
            <a:ext uri="{FF2B5EF4-FFF2-40B4-BE49-F238E27FC236}">
              <a16:creationId xmlns:a16="http://schemas.microsoft.com/office/drawing/2014/main" id="{C8C6E22A-4F3C-4B79-B753-81C1565858C8}"/>
            </a:ext>
          </a:extLst>
        </xdr:cNvPr>
        <xdr:cNvPicPr>
          <a:picLocks noChangeAspect="1"/>
        </xdr:cNvPicPr>
      </xdr:nvPicPr>
      <xdr:blipFill rotWithShape="1">
        <a:blip xmlns:r="http://schemas.openxmlformats.org/officeDocument/2006/relationships" r:embed="rId49" cstate="print">
          <a:clrChange>
            <a:clrFrom>
              <a:srgbClr val="F7F8F8"/>
            </a:clrFrom>
            <a:clrTo>
              <a:srgbClr val="F7F8F8">
                <a:alpha val="0"/>
              </a:srgbClr>
            </a:clrTo>
          </a:clrChange>
          <a:extLst>
            <a:ext uri="{28A0092B-C50C-407E-A947-70E740481C1C}">
              <a14:useLocalDpi xmlns:a14="http://schemas.microsoft.com/office/drawing/2010/main" val="0"/>
            </a:ext>
          </a:extLst>
        </a:blip>
        <a:srcRect l="33065" t="15103" r="32534" b="20760"/>
        <a:stretch/>
      </xdr:blipFill>
      <xdr:spPr>
        <a:xfrm>
          <a:off x="8595060" y="5188105"/>
          <a:ext cx="169654" cy="195512"/>
        </a:xfrm>
        <a:prstGeom prst="rect">
          <a:avLst/>
        </a:prstGeom>
      </xdr:spPr>
    </xdr:pic>
    <xdr:clientData/>
  </xdr:twoCellAnchor>
  <xdr:twoCellAnchor editAs="oneCell">
    <xdr:from>
      <xdr:col>4</xdr:col>
      <xdr:colOff>0</xdr:colOff>
      <xdr:row>24</xdr:row>
      <xdr:rowOff>0</xdr:rowOff>
    </xdr:from>
    <xdr:to>
      <xdr:col>4</xdr:col>
      <xdr:colOff>986932</xdr:colOff>
      <xdr:row>25</xdr:row>
      <xdr:rowOff>8986</xdr:rowOff>
    </xdr:to>
    <xdr:pic>
      <xdr:nvPicPr>
        <xdr:cNvPr id="75" name="Imagen 74">
          <a:extLst>
            <a:ext uri="{FF2B5EF4-FFF2-40B4-BE49-F238E27FC236}">
              <a16:creationId xmlns:a16="http://schemas.microsoft.com/office/drawing/2014/main" id="{9E130179-3EE1-4CE9-8761-B05FD739101E}"/>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4295775" y="6572250"/>
          <a:ext cx="986932" cy="199486"/>
        </a:xfrm>
        <a:prstGeom prst="rect">
          <a:avLst/>
        </a:prstGeom>
      </xdr:spPr>
    </xdr:pic>
    <xdr:clientData/>
  </xdr:twoCellAnchor>
  <xdr:twoCellAnchor>
    <xdr:from>
      <xdr:col>22</xdr:col>
      <xdr:colOff>51956</xdr:colOff>
      <xdr:row>1</xdr:row>
      <xdr:rowOff>424296</xdr:rowOff>
    </xdr:from>
    <xdr:to>
      <xdr:col>23</xdr:col>
      <xdr:colOff>337704</xdr:colOff>
      <xdr:row>1</xdr:row>
      <xdr:rowOff>891886</xdr:rowOff>
    </xdr:to>
    <xdr:sp macro="" textlink="">
      <xdr:nvSpPr>
        <xdr:cNvPr id="76" name="Rectángulo 75">
          <a:extLst>
            <a:ext uri="{FF2B5EF4-FFF2-40B4-BE49-F238E27FC236}">
              <a16:creationId xmlns:a16="http://schemas.microsoft.com/office/drawing/2014/main" id="{C39ABBC6-9B04-42A7-B56C-D77CBA018A65}"/>
            </a:ext>
          </a:extLst>
        </xdr:cNvPr>
        <xdr:cNvSpPr/>
      </xdr:nvSpPr>
      <xdr:spPr>
        <a:xfrm>
          <a:off x="14225156" y="624321"/>
          <a:ext cx="790573" cy="4675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s-MX" sz="1100" b="1">
              <a:solidFill>
                <a:schemeClr val="bg1"/>
              </a:solidFill>
            </a:rPr>
            <a:t>Primer Año</a:t>
          </a:r>
        </a:p>
      </xdr:txBody>
    </xdr:sp>
    <xdr:clientData/>
  </xdr:twoCellAnchor>
  <xdr:twoCellAnchor>
    <xdr:from>
      <xdr:col>24</xdr:col>
      <xdr:colOff>43295</xdr:colOff>
      <xdr:row>1</xdr:row>
      <xdr:rowOff>429492</xdr:rowOff>
    </xdr:from>
    <xdr:to>
      <xdr:col>25</xdr:col>
      <xdr:colOff>320386</xdr:colOff>
      <xdr:row>1</xdr:row>
      <xdr:rowOff>897082</xdr:rowOff>
    </xdr:to>
    <xdr:sp macro="" textlink="">
      <xdr:nvSpPr>
        <xdr:cNvPr id="77" name="Rectángulo 76">
          <a:extLst>
            <a:ext uri="{FF2B5EF4-FFF2-40B4-BE49-F238E27FC236}">
              <a16:creationId xmlns:a16="http://schemas.microsoft.com/office/drawing/2014/main" id="{84A7A878-AF70-43C6-BBBE-B013A194B26E}"/>
            </a:ext>
          </a:extLst>
        </xdr:cNvPr>
        <xdr:cNvSpPr/>
      </xdr:nvSpPr>
      <xdr:spPr>
        <a:xfrm>
          <a:off x="15111845" y="629517"/>
          <a:ext cx="791441" cy="4675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marL="0" indent="0" algn="ctr"/>
          <a:r>
            <a:rPr lang="es-MX" sz="1100" b="1">
              <a:solidFill>
                <a:schemeClr val="bg1"/>
              </a:solidFill>
              <a:latin typeface="+mn-lt"/>
              <a:ea typeface="+mn-ea"/>
              <a:cs typeface="+mn-cs"/>
            </a:rPr>
            <a:t>Segundo Medio Año</a:t>
          </a:r>
        </a:p>
      </xdr:txBody>
    </xdr:sp>
    <xdr:clientData/>
  </xdr:twoCellAnchor>
  <xdr:twoCellAnchor editAs="oneCell">
    <xdr:from>
      <xdr:col>7</xdr:col>
      <xdr:colOff>49966</xdr:colOff>
      <xdr:row>5</xdr:row>
      <xdr:rowOff>13355</xdr:rowOff>
    </xdr:from>
    <xdr:to>
      <xdr:col>7</xdr:col>
      <xdr:colOff>935691</xdr:colOff>
      <xdr:row>5</xdr:row>
      <xdr:rowOff>190041</xdr:rowOff>
    </xdr:to>
    <xdr:pic>
      <xdr:nvPicPr>
        <xdr:cNvPr id="78" name="Imagen 77">
          <a:extLst>
            <a:ext uri="{FF2B5EF4-FFF2-40B4-BE49-F238E27FC236}">
              <a16:creationId xmlns:a16="http://schemas.microsoft.com/office/drawing/2014/main" id="{E64915D5-3A7D-DC9E-80A3-9A83838D506A}"/>
            </a:ext>
          </a:extLst>
        </xdr:cNvPr>
        <xdr:cNvPicPr>
          <a:picLocks noChangeAspect="1"/>
        </xdr:cNvPicPr>
      </xdr:nvPicPr>
      <xdr:blipFill>
        <a:blip xmlns:r="http://schemas.openxmlformats.org/officeDocument/2006/relationships" r:embed="rId50"/>
        <a:stretch>
          <a:fillRect/>
        </a:stretch>
      </xdr:blipFill>
      <xdr:spPr>
        <a:xfrm>
          <a:off x="8073378" y="2254531"/>
          <a:ext cx="885725" cy="176686"/>
        </a:xfrm>
        <a:prstGeom prst="rect">
          <a:avLst/>
        </a:prstGeom>
      </xdr:spPr>
    </xdr:pic>
    <xdr:clientData/>
  </xdr:twoCellAnchor>
  <xdr:twoCellAnchor editAs="oneCell">
    <xdr:from>
      <xdr:col>6</xdr:col>
      <xdr:colOff>196103</xdr:colOff>
      <xdr:row>5</xdr:row>
      <xdr:rowOff>1</xdr:rowOff>
    </xdr:from>
    <xdr:to>
      <xdr:col>6</xdr:col>
      <xdr:colOff>403412</xdr:colOff>
      <xdr:row>6</xdr:row>
      <xdr:rowOff>16810</xdr:rowOff>
    </xdr:to>
    <xdr:pic>
      <xdr:nvPicPr>
        <xdr:cNvPr id="79" name="Imagen 78">
          <a:extLst>
            <a:ext uri="{FF2B5EF4-FFF2-40B4-BE49-F238E27FC236}">
              <a16:creationId xmlns:a16="http://schemas.microsoft.com/office/drawing/2014/main" id="{4E609A10-00C4-4A56-608F-84094333092C}"/>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7631206" y="2224369"/>
          <a:ext cx="207309" cy="207309"/>
        </a:xfrm>
        <a:prstGeom prst="rect">
          <a:avLst/>
        </a:prstGeom>
      </xdr:spPr>
    </xdr:pic>
    <xdr:clientData/>
  </xdr:twoCellAnchor>
  <xdr:twoCellAnchor editAs="oneCell">
    <xdr:from>
      <xdr:col>6</xdr:col>
      <xdr:colOff>128869</xdr:colOff>
      <xdr:row>7</xdr:row>
      <xdr:rowOff>112058</xdr:rowOff>
    </xdr:from>
    <xdr:to>
      <xdr:col>6</xdr:col>
      <xdr:colOff>465045</xdr:colOff>
      <xdr:row>9</xdr:row>
      <xdr:rowOff>78440</xdr:rowOff>
    </xdr:to>
    <xdr:pic>
      <xdr:nvPicPr>
        <xdr:cNvPr id="80" name="Imagen 79">
          <a:extLst>
            <a:ext uri="{FF2B5EF4-FFF2-40B4-BE49-F238E27FC236}">
              <a16:creationId xmlns:a16="http://schemas.microsoft.com/office/drawing/2014/main" id="{6DF947C9-BF8D-F56D-9F23-637B6637EE13}"/>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7563972" y="2924734"/>
          <a:ext cx="336176" cy="336176"/>
        </a:xfrm>
        <a:prstGeom prst="rect">
          <a:avLst/>
        </a:prstGeom>
      </xdr:spPr>
    </xdr:pic>
    <xdr:clientData/>
  </xdr:twoCellAnchor>
  <xdr:twoCellAnchor editAs="oneCell">
    <xdr:from>
      <xdr:col>6</xdr:col>
      <xdr:colOff>234537</xdr:colOff>
      <xdr:row>6</xdr:row>
      <xdr:rowOff>11563</xdr:rowOff>
    </xdr:from>
    <xdr:to>
      <xdr:col>6</xdr:col>
      <xdr:colOff>570358</xdr:colOff>
      <xdr:row>6</xdr:row>
      <xdr:rowOff>347384</xdr:rowOff>
    </xdr:to>
    <xdr:pic>
      <xdr:nvPicPr>
        <xdr:cNvPr id="81" name="Imagen 80">
          <a:extLst>
            <a:ext uri="{FF2B5EF4-FFF2-40B4-BE49-F238E27FC236}">
              <a16:creationId xmlns:a16="http://schemas.microsoft.com/office/drawing/2014/main" id="{5084E816-F1C6-6CD2-B9E3-5A76D6195159}"/>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7669640" y="2443239"/>
          <a:ext cx="335821" cy="335821"/>
        </a:xfrm>
        <a:prstGeom prst="rect">
          <a:avLst/>
        </a:prstGeom>
      </xdr:spPr>
    </xdr:pic>
    <xdr:clientData/>
  </xdr:twoCellAnchor>
  <xdr:twoCellAnchor editAs="oneCell">
    <xdr:from>
      <xdr:col>6</xdr:col>
      <xdr:colOff>16809</xdr:colOff>
      <xdr:row>6</xdr:row>
      <xdr:rowOff>5605</xdr:rowOff>
    </xdr:from>
    <xdr:to>
      <xdr:col>6</xdr:col>
      <xdr:colOff>356262</xdr:colOff>
      <xdr:row>6</xdr:row>
      <xdr:rowOff>345058</xdr:rowOff>
    </xdr:to>
    <xdr:pic>
      <xdr:nvPicPr>
        <xdr:cNvPr id="82" name="Imagen 81">
          <a:extLst>
            <a:ext uri="{FF2B5EF4-FFF2-40B4-BE49-F238E27FC236}">
              <a16:creationId xmlns:a16="http://schemas.microsoft.com/office/drawing/2014/main" id="{5AC44700-E126-DC89-8C5F-3DCA071B26C0}"/>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7451912" y="2437281"/>
          <a:ext cx="339453" cy="339453"/>
        </a:xfrm>
        <a:prstGeom prst="rect">
          <a:avLst/>
        </a:prstGeom>
      </xdr:spPr>
    </xdr:pic>
    <xdr:clientData/>
  </xdr:twoCellAnchor>
  <xdr:twoCellAnchor editAs="oneCell">
    <xdr:from>
      <xdr:col>6</xdr:col>
      <xdr:colOff>207307</xdr:colOff>
      <xdr:row>7</xdr:row>
      <xdr:rowOff>0</xdr:rowOff>
    </xdr:from>
    <xdr:to>
      <xdr:col>6</xdr:col>
      <xdr:colOff>392205</xdr:colOff>
      <xdr:row>8</xdr:row>
      <xdr:rowOff>5604</xdr:rowOff>
    </xdr:to>
    <xdr:pic>
      <xdr:nvPicPr>
        <xdr:cNvPr id="83" name="Picture 26">
          <a:extLst>
            <a:ext uri="{FF2B5EF4-FFF2-40B4-BE49-F238E27FC236}">
              <a16:creationId xmlns:a16="http://schemas.microsoft.com/office/drawing/2014/main" id="{677ADCF4-AC46-9487-7A34-3D8EA1DABE1B}"/>
            </a:ext>
          </a:extLst>
        </xdr:cNvPr>
        <xdr:cNvPicPr>
          <a:picLocks noChangeAspect="1" noChangeArrowheads="1"/>
        </xdr:cNvPicPr>
      </xdr:nvPicPr>
      <xdr:blipFill>
        <a:blip xmlns:r="http://schemas.openxmlformats.org/officeDocument/2006/relationships" r:embed="rId55" cstate="print">
          <a:extLst>
            <a:ext uri="{28A0092B-C50C-407E-A947-70E740481C1C}">
              <a14:useLocalDpi xmlns:a14="http://schemas.microsoft.com/office/drawing/2010/main" val="0"/>
            </a:ext>
          </a:extLst>
        </a:blip>
        <a:srcRect/>
        <a:stretch>
          <a:fillRect/>
        </a:stretch>
      </xdr:blipFill>
      <xdr:spPr bwMode="auto">
        <a:xfrm>
          <a:off x="7642410" y="2795868"/>
          <a:ext cx="184898" cy="1848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134472</xdr:colOff>
      <xdr:row>8</xdr:row>
      <xdr:rowOff>117661</xdr:rowOff>
    </xdr:from>
    <xdr:to>
      <xdr:col>6</xdr:col>
      <xdr:colOff>470647</xdr:colOff>
      <xdr:row>10</xdr:row>
      <xdr:rowOff>72836</xdr:rowOff>
    </xdr:to>
    <xdr:pic>
      <xdr:nvPicPr>
        <xdr:cNvPr id="84" name="Imagen 83">
          <a:extLst>
            <a:ext uri="{FF2B5EF4-FFF2-40B4-BE49-F238E27FC236}">
              <a16:creationId xmlns:a16="http://schemas.microsoft.com/office/drawing/2014/main" id="{C3A55CFD-7F63-1D15-6165-A323D4363671}"/>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7569575" y="3109632"/>
          <a:ext cx="336175" cy="336175"/>
        </a:xfrm>
        <a:prstGeom prst="rect">
          <a:avLst/>
        </a:prstGeom>
      </xdr:spPr>
    </xdr:pic>
    <xdr:clientData/>
  </xdr:twoCellAnchor>
  <xdr:twoCellAnchor editAs="oneCell">
    <xdr:from>
      <xdr:col>6</xdr:col>
      <xdr:colOff>212913</xdr:colOff>
      <xdr:row>9</xdr:row>
      <xdr:rowOff>184897</xdr:rowOff>
    </xdr:from>
    <xdr:to>
      <xdr:col>6</xdr:col>
      <xdr:colOff>414619</xdr:colOff>
      <xdr:row>11</xdr:row>
      <xdr:rowOff>5603</xdr:rowOff>
    </xdr:to>
    <xdr:pic>
      <xdr:nvPicPr>
        <xdr:cNvPr id="85" name="Picture 22" descr="Oracle Certified Foundations Associate, Java - Credly">
          <a:extLst>
            <a:ext uri="{FF2B5EF4-FFF2-40B4-BE49-F238E27FC236}">
              <a16:creationId xmlns:a16="http://schemas.microsoft.com/office/drawing/2014/main" id="{034D572D-A81F-D737-C041-082B674F0097}"/>
            </a:ext>
          </a:extLst>
        </xdr:cNvPr>
        <xdr:cNvPicPr>
          <a:picLocks noChangeAspect="1" noChangeArrowheads="1"/>
        </xdr:cNvPicPr>
      </xdr:nvPicPr>
      <xdr:blipFill>
        <a:blip xmlns:r="http://schemas.openxmlformats.org/officeDocument/2006/relationships" r:embed="rId57" cstate="print">
          <a:extLst>
            <a:ext uri="{28A0092B-C50C-407E-A947-70E740481C1C}">
              <a14:useLocalDpi xmlns:a14="http://schemas.microsoft.com/office/drawing/2010/main" val="0"/>
            </a:ext>
          </a:extLst>
        </a:blip>
        <a:srcRect/>
        <a:stretch>
          <a:fillRect/>
        </a:stretch>
      </xdr:blipFill>
      <xdr:spPr bwMode="auto">
        <a:xfrm>
          <a:off x="7648016" y="3367368"/>
          <a:ext cx="201706" cy="201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201706</xdr:colOff>
      <xdr:row>11</xdr:row>
      <xdr:rowOff>67235</xdr:rowOff>
    </xdr:from>
    <xdr:to>
      <xdr:col>6</xdr:col>
      <xdr:colOff>422783</xdr:colOff>
      <xdr:row>11</xdr:row>
      <xdr:rowOff>288312</xdr:rowOff>
    </xdr:to>
    <xdr:pic>
      <xdr:nvPicPr>
        <xdr:cNvPr id="86" name="Picture 2">
          <a:extLst>
            <a:ext uri="{FF2B5EF4-FFF2-40B4-BE49-F238E27FC236}">
              <a16:creationId xmlns:a16="http://schemas.microsoft.com/office/drawing/2014/main" id="{E6526E57-F0D9-7CDC-0B47-108E67E62CD2}"/>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7636809" y="3630706"/>
          <a:ext cx="221077" cy="221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224118</xdr:colOff>
      <xdr:row>12</xdr:row>
      <xdr:rowOff>16808</xdr:rowOff>
    </xdr:from>
    <xdr:to>
      <xdr:col>6</xdr:col>
      <xdr:colOff>386604</xdr:colOff>
      <xdr:row>12</xdr:row>
      <xdr:rowOff>179294</xdr:rowOff>
    </xdr:to>
    <xdr:pic>
      <xdr:nvPicPr>
        <xdr:cNvPr id="87" name="Picture 16">
          <a:extLst>
            <a:ext uri="{FF2B5EF4-FFF2-40B4-BE49-F238E27FC236}">
              <a16:creationId xmlns:a16="http://schemas.microsoft.com/office/drawing/2014/main" id="{B85F817D-2E04-BB90-C449-C425F6B73A33}"/>
            </a:ext>
          </a:extLst>
        </xdr:cNvPr>
        <xdr:cNvPicPr>
          <a:picLocks noChangeAspect="1" noChangeArrowheads="1"/>
        </xdr:cNvPicPr>
      </xdr:nvPicPr>
      <xdr:blipFill>
        <a:blip xmlns:r="http://schemas.openxmlformats.org/officeDocument/2006/relationships" r:embed="rId59" cstate="print">
          <a:extLst>
            <a:ext uri="{28A0092B-C50C-407E-A947-70E740481C1C}">
              <a14:useLocalDpi xmlns:a14="http://schemas.microsoft.com/office/drawing/2010/main" val="0"/>
            </a:ext>
          </a:extLst>
        </a:blip>
        <a:srcRect/>
        <a:stretch>
          <a:fillRect/>
        </a:stretch>
      </xdr:blipFill>
      <xdr:spPr bwMode="auto">
        <a:xfrm>
          <a:off x="7659221" y="3944470"/>
          <a:ext cx="162486" cy="1624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106458</xdr:colOff>
      <xdr:row>12</xdr:row>
      <xdr:rowOff>179295</xdr:rowOff>
    </xdr:from>
    <xdr:to>
      <xdr:col>6</xdr:col>
      <xdr:colOff>509868</xdr:colOff>
      <xdr:row>14</xdr:row>
      <xdr:rowOff>0</xdr:rowOff>
    </xdr:to>
    <xdr:pic>
      <xdr:nvPicPr>
        <xdr:cNvPr id="88" name="Picture 18" descr="Oracle APEX Cloud Developer Certified Professional">
          <a:extLst>
            <a:ext uri="{FF2B5EF4-FFF2-40B4-BE49-F238E27FC236}">
              <a16:creationId xmlns:a16="http://schemas.microsoft.com/office/drawing/2014/main" id="{C0B120DA-9484-05CC-FACB-3B8D2537C4B7}"/>
            </a:ext>
          </a:extLst>
        </xdr:cNvPr>
        <xdr:cNvPicPr>
          <a:picLocks noChangeAspect="1" noChangeArrowheads="1"/>
        </xdr:cNvPicPr>
      </xdr:nvPicPr>
      <xdr:blipFill>
        <a:blip xmlns:r="http://schemas.openxmlformats.org/officeDocument/2006/relationships" r:embed="rId60" cstate="print">
          <a:extLst>
            <a:ext uri="{28A0092B-C50C-407E-A947-70E740481C1C}">
              <a14:useLocalDpi xmlns:a14="http://schemas.microsoft.com/office/drawing/2010/main" val="0"/>
            </a:ext>
          </a:extLst>
        </a:blip>
        <a:srcRect/>
        <a:stretch>
          <a:fillRect/>
        </a:stretch>
      </xdr:blipFill>
      <xdr:spPr bwMode="auto">
        <a:xfrm>
          <a:off x="7541561" y="4123766"/>
          <a:ext cx="403410" cy="201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149273</xdr:colOff>
      <xdr:row>13</xdr:row>
      <xdr:rowOff>123264</xdr:rowOff>
    </xdr:from>
    <xdr:to>
      <xdr:col>6</xdr:col>
      <xdr:colOff>479847</xdr:colOff>
      <xdr:row>15</xdr:row>
      <xdr:rowOff>72838</xdr:rowOff>
    </xdr:to>
    <xdr:pic>
      <xdr:nvPicPr>
        <xdr:cNvPr id="89" name="Imagen 88">
          <a:extLst>
            <a:ext uri="{FF2B5EF4-FFF2-40B4-BE49-F238E27FC236}">
              <a16:creationId xmlns:a16="http://schemas.microsoft.com/office/drawing/2014/main" id="{4CF2A350-E00E-5719-C950-86A8EA4E0CFA}"/>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7584376" y="4258235"/>
          <a:ext cx="330574" cy="330574"/>
        </a:xfrm>
        <a:prstGeom prst="rect">
          <a:avLst/>
        </a:prstGeom>
      </xdr:spPr>
    </xdr:pic>
    <xdr:clientData/>
  </xdr:twoCellAnchor>
  <xdr:twoCellAnchor editAs="oneCell">
    <xdr:from>
      <xdr:col>6</xdr:col>
      <xdr:colOff>207308</xdr:colOff>
      <xdr:row>14</xdr:row>
      <xdr:rowOff>173692</xdr:rowOff>
    </xdr:from>
    <xdr:to>
      <xdr:col>6</xdr:col>
      <xdr:colOff>431426</xdr:colOff>
      <xdr:row>16</xdr:row>
      <xdr:rowOff>16810</xdr:rowOff>
    </xdr:to>
    <xdr:pic>
      <xdr:nvPicPr>
        <xdr:cNvPr id="90" name="Imagen 89">
          <a:extLst>
            <a:ext uri="{FF2B5EF4-FFF2-40B4-BE49-F238E27FC236}">
              <a16:creationId xmlns:a16="http://schemas.microsoft.com/office/drawing/2014/main" id="{A8B9EF80-5345-12E5-0881-B61EF3887588}"/>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7642411" y="4499163"/>
          <a:ext cx="224118" cy="224118"/>
        </a:xfrm>
        <a:prstGeom prst="rect">
          <a:avLst/>
        </a:prstGeom>
      </xdr:spPr>
    </xdr:pic>
    <xdr:clientData/>
  </xdr:twoCellAnchor>
  <xdr:twoCellAnchor editAs="oneCell">
    <xdr:from>
      <xdr:col>6</xdr:col>
      <xdr:colOff>190500</xdr:colOff>
      <xdr:row>15</xdr:row>
      <xdr:rowOff>179294</xdr:rowOff>
    </xdr:from>
    <xdr:to>
      <xdr:col>6</xdr:col>
      <xdr:colOff>425823</xdr:colOff>
      <xdr:row>17</xdr:row>
      <xdr:rowOff>33617</xdr:rowOff>
    </xdr:to>
    <xdr:pic>
      <xdr:nvPicPr>
        <xdr:cNvPr id="91" name="Picture 24">
          <a:extLst>
            <a:ext uri="{FF2B5EF4-FFF2-40B4-BE49-F238E27FC236}">
              <a16:creationId xmlns:a16="http://schemas.microsoft.com/office/drawing/2014/main" id="{837EA9ED-A5FC-B896-CB78-AC5E836A37F6}"/>
            </a:ext>
          </a:extLst>
        </xdr:cNvPr>
        <xdr:cNvPicPr>
          <a:picLocks noChangeAspect="1" noChangeArrowheads="1"/>
        </xdr:cNvPicPr>
      </xdr:nvPicPr>
      <xdr:blipFill>
        <a:blip xmlns:r="http://schemas.openxmlformats.org/officeDocument/2006/relationships" r:embed="rId63" cstate="print">
          <a:extLst>
            <a:ext uri="{28A0092B-C50C-407E-A947-70E740481C1C}">
              <a14:useLocalDpi xmlns:a14="http://schemas.microsoft.com/office/drawing/2010/main" val="0"/>
            </a:ext>
          </a:extLst>
        </a:blip>
        <a:srcRect/>
        <a:stretch>
          <a:fillRect/>
        </a:stretch>
      </xdr:blipFill>
      <xdr:spPr bwMode="auto">
        <a:xfrm>
          <a:off x="7625603" y="4695265"/>
          <a:ext cx="235323" cy="2353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212912</xdr:colOff>
      <xdr:row>17</xdr:row>
      <xdr:rowOff>156882</xdr:rowOff>
    </xdr:from>
    <xdr:to>
      <xdr:col>6</xdr:col>
      <xdr:colOff>392208</xdr:colOff>
      <xdr:row>17</xdr:row>
      <xdr:rowOff>336178</xdr:rowOff>
    </xdr:to>
    <xdr:pic>
      <xdr:nvPicPr>
        <xdr:cNvPr id="92" name="Picture 6" descr="App Development with Swift Associate - Credly">
          <a:extLst>
            <a:ext uri="{FF2B5EF4-FFF2-40B4-BE49-F238E27FC236}">
              <a16:creationId xmlns:a16="http://schemas.microsoft.com/office/drawing/2014/main" id="{9DAAFD0A-D680-E31F-093E-0AC1C893F3AD}"/>
            </a:ext>
          </a:extLst>
        </xdr:cNvPr>
        <xdr:cNvPicPr>
          <a:picLocks noChangeAspect="1" noChangeArrowheads="1"/>
        </xdr:cNvPicPr>
      </xdr:nvPicPr>
      <xdr:blipFill>
        <a:blip xmlns:r="http://schemas.openxmlformats.org/officeDocument/2006/relationships" r:embed="rId64" cstate="print">
          <a:extLst>
            <a:ext uri="{28A0092B-C50C-407E-A947-70E740481C1C}">
              <a14:useLocalDpi xmlns:a14="http://schemas.microsoft.com/office/drawing/2010/main" val="0"/>
            </a:ext>
          </a:extLst>
        </a:blip>
        <a:srcRect/>
        <a:stretch>
          <a:fillRect/>
        </a:stretch>
      </xdr:blipFill>
      <xdr:spPr bwMode="auto">
        <a:xfrm>
          <a:off x="7648015" y="5053853"/>
          <a:ext cx="179296" cy="179296"/>
        </a:xfrm>
        <a:prstGeom prst="roundRect">
          <a:avLst>
            <a:gd name="adj" fmla="val 8594"/>
          </a:avLst>
        </a:prstGeom>
        <a:solidFill>
          <a:srgbClr val="FFFFFF">
            <a:shade val="85000"/>
          </a:srgbClr>
        </a:solidFill>
        <a:ln>
          <a:solidFill>
            <a:schemeClr val="accent4"/>
          </a:solidFill>
        </a:ln>
        <a:effectLst>
          <a:reflection blurRad="12700" stA="38000" endPos="28000" dist="5000" dir="5400000" sy="-100000" algn="bl" rotWithShape="0"/>
        </a:effectLst>
      </xdr:spPr>
    </xdr:pic>
    <xdr:clientData/>
  </xdr:twoCellAnchor>
  <xdr:twoCellAnchor editAs="oneCell">
    <xdr:from>
      <xdr:col>6</xdr:col>
      <xdr:colOff>84045</xdr:colOff>
      <xdr:row>18</xdr:row>
      <xdr:rowOff>100852</xdr:rowOff>
    </xdr:from>
    <xdr:to>
      <xdr:col>6</xdr:col>
      <xdr:colOff>291354</xdr:colOff>
      <xdr:row>18</xdr:row>
      <xdr:rowOff>308161</xdr:rowOff>
    </xdr:to>
    <xdr:pic>
      <xdr:nvPicPr>
        <xdr:cNvPr id="93" name="Picture 12">
          <a:extLst>
            <a:ext uri="{FF2B5EF4-FFF2-40B4-BE49-F238E27FC236}">
              <a16:creationId xmlns:a16="http://schemas.microsoft.com/office/drawing/2014/main" id="{BD466C36-2463-2F5F-2703-D688EBED183A}"/>
            </a:ext>
          </a:extLst>
        </xdr:cNvPr>
        <xdr:cNvPicPr>
          <a:picLocks noChangeAspect="1" noChangeArrowheads="1"/>
        </xdr:cNvPicPr>
      </xdr:nvPicPr>
      <xdr:blipFill>
        <a:blip xmlns:r="http://schemas.openxmlformats.org/officeDocument/2006/relationships" r:embed="rId65" cstate="print">
          <a:extLst>
            <a:ext uri="{28A0092B-C50C-407E-A947-70E740481C1C}">
              <a14:useLocalDpi xmlns:a14="http://schemas.microsoft.com/office/drawing/2010/main" val="0"/>
            </a:ext>
          </a:extLst>
        </a:blip>
        <a:srcRect/>
        <a:stretch>
          <a:fillRect/>
        </a:stretch>
      </xdr:blipFill>
      <xdr:spPr bwMode="auto">
        <a:xfrm>
          <a:off x="7519148" y="5502087"/>
          <a:ext cx="207309" cy="207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296957</xdr:colOff>
      <xdr:row>18</xdr:row>
      <xdr:rowOff>95251</xdr:rowOff>
    </xdr:from>
    <xdr:to>
      <xdr:col>6</xdr:col>
      <xdr:colOff>509869</xdr:colOff>
      <xdr:row>18</xdr:row>
      <xdr:rowOff>308163</xdr:rowOff>
    </xdr:to>
    <xdr:pic>
      <xdr:nvPicPr>
        <xdr:cNvPr id="94" name="Picture 14">
          <a:extLst>
            <a:ext uri="{FF2B5EF4-FFF2-40B4-BE49-F238E27FC236}">
              <a16:creationId xmlns:a16="http://schemas.microsoft.com/office/drawing/2014/main" id="{9052BC30-393B-33C4-5E61-05BD90EF90B0}"/>
            </a:ext>
          </a:extLst>
        </xdr:cNvPr>
        <xdr:cNvPicPr>
          <a:picLocks noChangeAspect="1" noChangeArrowheads="1"/>
        </xdr:cNvPicPr>
      </xdr:nvPicPr>
      <xdr:blipFill>
        <a:blip xmlns:r="http://schemas.openxmlformats.org/officeDocument/2006/relationships" r:embed="rId66" cstate="print">
          <a:extLst>
            <a:ext uri="{28A0092B-C50C-407E-A947-70E740481C1C}">
              <a14:useLocalDpi xmlns:a14="http://schemas.microsoft.com/office/drawing/2010/main" val="0"/>
            </a:ext>
          </a:extLst>
        </a:blip>
        <a:srcRect/>
        <a:stretch>
          <a:fillRect/>
        </a:stretch>
      </xdr:blipFill>
      <xdr:spPr bwMode="auto">
        <a:xfrm>
          <a:off x="7732060" y="5496486"/>
          <a:ext cx="212912" cy="212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201705</xdr:colOff>
      <xdr:row>18</xdr:row>
      <xdr:rowOff>375396</xdr:rowOff>
    </xdr:from>
    <xdr:to>
      <xdr:col>6</xdr:col>
      <xdr:colOff>392206</xdr:colOff>
      <xdr:row>19</xdr:row>
      <xdr:rowOff>184897</xdr:rowOff>
    </xdr:to>
    <xdr:pic>
      <xdr:nvPicPr>
        <xdr:cNvPr id="95" name="Picture 2">
          <a:extLst>
            <a:ext uri="{FF2B5EF4-FFF2-40B4-BE49-F238E27FC236}">
              <a16:creationId xmlns:a16="http://schemas.microsoft.com/office/drawing/2014/main" id="{F93C6D04-AB19-DB7D-7139-5B30D6405B07}"/>
            </a:ext>
          </a:extLst>
        </xdr:cNvPr>
        <xdr:cNvPicPr>
          <a:picLocks noChangeAspect="1" noChangeArrowheads="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a:fillRect/>
        </a:stretch>
      </xdr:blipFill>
      <xdr:spPr bwMode="auto">
        <a:xfrm>
          <a:off x="7636808" y="5776631"/>
          <a:ext cx="190501" cy="190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123263</xdr:colOff>
      <xdr:row>20</xdr:row>
      <xdr:rowOff>22412</xdr:rowOff>
    </xdr:from>
    <xdr:to>
      <xdr:col>6</xdr:col>
      <xdr:colOff>476590</xdr:colOff>
      <xdr:row>20</xdr:row>
      <xdr:rowOff>375739</xdr:rowOff>
    </xdr:to>
    <xdr:pic>
      <xdr:nvPicPr>
        <xdr:cNvPr id="96" name="Imagen 95">
          <a:extLst>
            <a:ext uri="{FF2B5EF4-FFF2-40B4-BE49-F238E27FC236}">
              <a16:creationId xmlns:a16="http://schemas.microsoft.com/office/drawing/2014/main" id="{C40C908B-B793-F1B6-47E0-8F97F814BE88}"/>
            </a:ext>
          </a:extLst>
        </xdr:cNvPr>
        <xdr:cNvPicPr>
          <a:picLocks noChangeAspect="1"/>
        </xdr:cNvPicPr>
      </xdr:nvPicPr>
      <xdr:blipFill>
        <a:blip xmlns:r="http://schemas.openxmlformats.org/officeDocument/2006/relationships" r:embed="rId68" cstate="print">
          <a:extLst>
            <a:ext uri="{28A0092B-C50C-407E-A947-70E740481C1C}">
              <a14:useLocalDpi xmlns:a14="http://schemas.microsoft.com/office/drawing/2010/main" val="0"/>
            </a:ext>
          </a:extLst>
        </a:blip>
        <a:stretch>
          <a:fillRect/>
        </a:stretch>
      </xdr:blipFill>
      <xdr:spPr>
        <a:xfrm>
          <a:off x="7558366" y="5995147"/>
          <a:ext cx="353327" cy="353327"/>
        </a:xfrm>
        <a:prstGeom prst="rect">
          <a:avLst/>
        </a:prstGeom>
      </xdr:spPr>
    </xdr:pic>
    <xdr:clientData/>
  </xdr:twoCellAnchor>
  <xdr:twoCellAnchor editAs="oneCell">
    <xdr:from>
      <xdr:col>1</xdr:col>
      <xdr:colOff>15874</xdr:colOff>
      <xdr:row>1</xdr:row>
      <xdr:rowOff>31750</xdr:rowOff>
    </xdr:from>
    <xdr:to>
      <xdr:col>1</xdr:col>
      <xdr:colOff>1063624</xdr:colOff>
      <xdr:row>1</xdr:row>
      <xdr:rowOff>966598</xdr:rowOff>
    </xdr:to>
    <xdr:pic>
      <xdr:nvPicPr>
        <xdr:cNvPr id="3" name="Imagen 2">
          <a:extLst>
            <a:ext uri="{FF2B5EF4-FFF2-40B4-BE49-F238E27FC236}">
              <a16:creationId xmlns:a16="http://schemas.microsoft.com/office/drawing/2014/main" id="{C87D2C94-0495-C393-1681-97897D4A46A4}"/>
            </a:ext>
          </a:extLst>
        </xdr:cNvPr>
        <xdr:cNvPicPr>
          <a:picLocks noChangeAspect="1" noChangeArrowheads="1"/>
        </xdr:cNvPicPr>
      </xdr:nvPicPr>
      <xdr:blipFill>
        <a:blip xmlns:r="http://schemas.openxmlformats.org/officeDocument/2006/relationships" r:embed="rId69" cstate="print">
          <a:extLst>
            <a:ext uri="{28A0092B-C50C-407E-A947-70E740481C1C}">
              <a14:useLocalDpi xmlns:a14="http://schemas.microsoft.com/office/drawing/2010/main" val="0"/>
            </a:ext>
          </a:extLst>
        </a:blip>
        <a:srcRect/>
        <a:stretch>
          <a:fillRect/>
        </a:stretch>
      </xdr:blipFill>
      <xdr:spPr bwMode="auto">
        <a:xfrm>
          <a:off x="214312" y="230188"/>
          <a:ext cx="1047750" cy="9348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238126</xdr:colOff>
      <xdr:row>7</xdr:row>
      <xdr:rowOff>22410</xdr:rowOff>
    </xdr:from>
    <xdr:to>
      <xdr:col>5</xdr:col>
      <xdr:colOff>738692</xdr:colOff>
      <xdr:row>7</xdr:row>
      <xdr:rowOff>174763</xdr:rowOff>
    </xdr:to>
    <xdr:pic>
      <xdr:nvPicPr>
        <xdr:cNvPr id="2" name="Imagen 1">
          <a:extLst>
            <a:ext uri="{FF2B5EF4-FFF2-40B4-BE49-F238E27FC236}">
              <a16:creationId xmlns:a16="http://schemas.microsoft.com/office/drawing/2014/main" id="{C293D444-35B0-4234-B95E-879AD8D90668}"/>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337" b="23116"/>
        <a:stretch/>
      </xdr:blipFill>
      <xdr:spPr bwMode="auto">
        <a:xfrm>
          <a:off x="8258176" y="2813235"/>
          <a:ext cx="500566" cy="152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393309</xdr:colOff>
      <xdr:row>7</xdr:row>
      <xdr:rowOff>13973</xdr:rowOff>
    </xdr:from>
    <xdr:to>
      <xdr:col>2</xdr:col>
      <xdr:colOff>745191</xdr:colOff>
      <xdr:row>7</xdr:row>
      <xdr:rowOff>170372</xdr:rowOff>
    </xdr:to>
    <xdr:pic>
      <xdr:nvPicPr>
        <xdr:cNvPr id="3" name="Imagen 2">
          <a:extLst>
            <a:ext uri="{FF2B5EF4-FFF2-40B4-BE49-F238E27FC236}">
              <a16:creationId xmlns:a16="http://schemas.microsoft.com/office/drawing/2014/main" id="{389C0BED-1559-4FB8-8D71-13F27ECAFE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27309" y="2804798"/>
          <a:ext cx="351882" cy="156399"/>
        </a:xfrm>
        <a:prstGeom prst="rect">
          <a:avLst/>
        </a:prstGeom>
      </xdr:spPr>
    </xdr:pic>
    <xdr:clientData/>
  </xdr:twoCellAnchor>
  <xdr:twoCellAnchor editAs="oneCell">
    <xdr:from>
      <xdr:col>2</xdr:col>
      <xdr:colOff>400032</xdr:colOff>
      <xdr:row>5</xdr:row>
      <xdr:rowOff>31062</xdr:rowOff>
    </xdr:from>
    <xdr:to>
      <xdr:col>2</xdr:col>
      <xdr:colOff>733986</xdr:colOff>
      <xdr:row>5</xdr:row>
      <xdr:rowOff>180802</xdr:rowOff>
    </xdr:to>
    <xdr:pic>
      <xdr:nvPicPr>
        <xdr:cNvPr id="4" name="Imagen 3">
          <a:extLst>
            <a:ext uri="{FF2B5EF4-FFF2-40B4-BE49-F238E27FC236}">
              <a16:creationId xmlns:a16="http://schemas.microsoft.com/office/drawing/2014/main" id="{1C57BE89-F98D-4348-9F75-3DA5EA4F6AE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34032" y="2250387"/>
          <a:ext cx="333954" cy="149740"/>
        </a:xfrm>
        <a:prstGeom prst="rect">
          <a:avLst/>
        </a:prstGeom>
      </xdr:spPr>
    </xdr:pic>
    <xdr:clientData/>
  </xdr:twoCellAnchor>
  <xdr:twoCellAnchor editAs="oneCell">
    <xdr:from>
      <xdr:col>3</xdr:col>
      <xdr:colOff>257845</xdr:colOff>
      <xdr:row>11</xdr:row>
      <xdr:rowOff>28380</xdr:rowOff>
    </xdr:from>
    <xdr:to>
      <xdr:col>3</xdr:col>
      <xdr:colOff>815806</xdr:colOff>
      <xdr:row>11</xdr:row>
      <xdr:rowOff>184100</xdr:rowOff>
    </xdr:to>
    <xdr:pic>
      <xdr:nvPicPr>
        <xdr:cNvPr id="5" name="Imagen 4">
          <a:extLst>
            <a:ext uri="{FF2B5EF4-FFF2-40B4-BE49-F238E27FC236}">
              <a16:creationId xmlns:a16="http://schemas.microsoft.com/office/drawing/2014/main" id="{7F402FED-62A2-448C-8D79-564EB5432A0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39595" y="3571680"/>
          <a:ext cx="557961" cy="155720"/>
        </a:xfrm>
        <a:prstGeom prst="rect">
          <a:avLst/>
        </a:prstGeom>
      </xdr:spPr>
    </xdr:pic>
    <xdr:clientData/>
  </xdr:twoCellAnchor>
  <xdr:twoCellAnchor editAs="oneCell">
    <xdr:from>
      <xdr:col>3</xdr:col>
      <xdr:colOff>109759</xdr:colOff>
      <xdr:row>11</xdr:row>
      <xdr:rowOff>209365</xdr:rowOff>
    </xdr:from>
    <xdr:to>
      <xdr:col>3</xdr:col>
      <xdr:colOff>1029372</xdr:colOff>
      <xdr:row>12</xdr:row>
      <xdr:rowOff>15425</xdr:rowOff>
    </xdr:to>
    <xdr:pic>
      <xdr:nvPicPr>
        <xdr:cNvPr id="6" name="Imagen 5">
          <a:extLst>
            <a:ext uri="{FF2B5EF4-FFF2-40B4-BE49-F238E27FC236}">
              <a16:creationId xmlns:a16="http://schemas.microsoft.com/office/drawing/2014/main" id="{9833D6CF-D179-4710-BDFD-47F54067B3B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91509" y="3752665"/>
          <a:ext cx="919613" cy="187060"/>
        </a:xfrm>
        <a:prstGeom prst="rect">
          <a:avLst/>
        </a:prstGeom>
      </xdr:spPr>
    </xdr:pic>
    <xdr:clientData/>
  </xdr:twoCellAnchor>
  <xdr:twoCellAnchor editAs="oneCell">
    <xdr:from>
      <xdr:col>5</xdr:col>
      <xdr:colOff>150324</xdr:colOff>
      <xdr:row>10</xdr:row>
      <xdr:rowOff>61004</xdr:rowOff>
    </xdr:from>
    <xdr:to>
      <xdr:col>5</xdr:col>
      <xdr:colOff>873590</xdr:colOff>
      <xdr:row>10</xdr:row>
      <xdr:rowOff>153337</xdr:rowOff>
    </xdr:to>
    <xdr:pic>
      <xdr:nvPicPr>
        <xdr:cNvPr id="7" name="Imagen 6">
          <a:extLst>
            <a:ext uri="{FF2B5EF4-FFF2-40B4-BE49-F238E27FC236}">
              <a16:creationId xmlns:a16="http://schemas.microsoft.com/office/drawing/2014/main" id="{5E32FF3B-39E3-452D-A371-3837ACCFB0D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70374" y="3413804"/>
          <a:ext cx="723266" cy="92333"/>
        </a:xfrm>
        <a:prstGeom prst="rect">
          <a:avLst/>
        </a:prstGeom>
      </xdr:spPr>
    </xdr:pic>
    <xdr:clientData/>
  </xdr:twoCellAnchor>
  <xdr:twoCellAnchor editAs="oneCell">
    <xdr:from>
      <xdr:col>3</xdr:col>
      <xdr:colOff>221437</xdr:colOff>
      <xdr:row>15</xdr:row>
      <xdr:rowOff>13497</xdr:rowOff>
    </xdr:from>
    <xdr:to>
      <xdr:col>3</xdr:col>
      <xdr:colOff>934753</xdr:colOff>
      <xdr:row>16</xdr:row>
      <xdr:rowOff>30817</xdr:rowOff>
    </xdr:to>
    <xdr:pic>
      <xdr:nvPicPr>
        <xdr:cNvPr id="8" name="Imagen 7">
          <a:extLst>
            <a:ext uri="{FF2B5EF4-FFF2-40B4-BE49-F238E27FC236}">
              <a16:creationId xmlns:a16="http://schemas.microsoft.com/office/drawing/2014/main" id="{0C4C22E5-CB76-432C-B84A-0189F0179F7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03187" y="4509297"/>
          <a:ext cx="713316" cy="207820"/>
        </a:xfrm>
        <a:prstGeom prst="rect">
          <a:avLst/>
        </a:prstGeom>
      </xdr:spPr>
    </xdr:pic>
    <xdr:clientData/>
  </xdr:twoCellAnchor>
  <xdr:twoCellAnchor editAs="oneCell">
    <xdr:from>
      <xdr:col>2</xdr:col>
      <xdr:colOff>318779</xdr:colOff>
      <xdr:row>17</xdr:row>
      <xdr:rowOff>330987</xdr:rowOff>
    </xdr:from>
    <xdr:to>
      <xdr:col>2</xdr:col>
      <xdr:colOff>727759</xdr:colOff>
      <xdr:row>17</xdr:row>
      <xdr:rowOff>467343</xdr:rowOff>
    </xdr:to>
    <xdr:pic>
      <xdr:nvPicPr>
        <xdr:cNvPr id="9" name="Imagen 8">
          <a:extLst>
            <a:ext uri="{FF2B5EF4-FFF2-40B4-BE49-F238E27FC236}">
              <a16:creationId xmlns:a16="http://schemas.microsoft.com/office/drawing/2014/main" id="{B58E4CB3-600D-477A-9988-8DC98FCC59C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652779" y="5207787"/>
          <a:ext cx="408980" cy="136356"/>
        </a:xfrm>
        <a:prstGeom prst="rect">
          <a:avLst/>
        </a:prstGeom>
      </xdr:spPr>
    </xdr:pic>
    <xdr:clientData/>
  </xdr:twoCellAnchor>
  <xdr:twoCellAnchor editAs="oneCell">
    <xdr:from>
      <xdr:col>2</xdr:col>
      <xdr:colOff>324416</xdr:colOff>
      <xdr:row>10</xdr:row>
      <xdr:rowOff>9621</xdr:rowOff>
    </xdr:from>
    <xdr:to>
      <xdr:col>2</xdr:col>
      <xdr:colOff>734716</xdr:colOff>
      <xdr:row>10</xdr:row>
      <xdr:rowOff>176518</xdr:rowOff>
    </xdr:to>
    <xdr:pic>
      <xdr:nvPicPr>
        <xdr:cNvPr id="10" name="Imagen 9">
          <a:extLst>
            <a:ext uri="{FF2B5EF4-FFF2-40B4-BE49-F238E27FC236}">
              <a16:creationId xmlns:a16="http://schemas.microsoft.com/office/drawing/2014/main" id="{7B95EDE5-0291-4ABF-8659-9E15390859D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658416" y="3362421"/>
          <a:ext cx="410300" cy="166897"/>
        </a:xfrm>
        <a:prstGeom prst="rect">
          <a:avLst/>
        </a:prstGeom>
      </xdr:spPr>
    </xdr:pic>
    <xdr:clientData/>
  </xdr:twoCellAnchor>
  <xdr:twoCellAnchor editAs="oneCell">
    <xdr:from>
      <xdr:col>5</xdr:col>
      <xdr:colOff>24896</xdr:colOff>
      <xdr:row>3</xdr:row>
      <xdr:rowOff>148819</xdr:rowOff>
    </xdr:from>
    <xdr:to>
      <xdr:col>6</xdr:col>
      <xdr:colOff>10443</xdr:colOff>
      <xdr:row>5</xdr:row>
      <xdr:rowOff>102534</xdr:rowOff>
    </xdr:to>
    <xdr:pic>
      <xdr:nvPicPr>
        <xdr:cNvPr id="11" name="Imagen 10">
          <a:extLst>
            <a:ext uri="{FF2B5EF4-FFF2-40B4-BE49-F238E27FC236}">
              <a16:creationId xmlns:a16="http://schemas.microsoft.com/office/drawing/2014/main" id="{3CA04AB5-860A-4CDA-BC30-F9F2EB0050E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044946" y="1977619"/>
          <a:ext cx="966622" cy="336302"/>
        </a:xfrm>
        <a:prstGeom prst="rect">
          <a:avLst/>
        </a:prstGeom>
      </xdr:spPr>
    </xdr:pic>
    <xdr:clientData/>
  </xdr:twoCellAnchor>
  <xdr:twoCellAnchor editAs="oneCell">
    <xdr:from>
      <xdr:col>2</xdr:col>
      <xdr:colOff>318450</xdr:colOff>
      <xdr:row>11</xdr:row>
      <xdr:rowOff>111692</xdr:rowOff>
    </xdr:from>
    <xdr:to>
      <xdr:col>2</xdr:col>
      <xdr:colOff>824387</xdr:colOff>
      <xdr:row>11</xdr:row>
      <xdr:rowOff>277860</xdr:rowOff>
    </xdr:to>
    <xdr:pic>
      <xdr:nvPicPr>
        <xdr:cNvPr id="12" name="Imagen 11">
          <a:extLst>
            <a:ext uri="{FF2B5EF4-FFF2-40B4-BE49-F238E27FC236}">
              <a16:creationId xmlns:a16="http://schemas.microsoft.com/office/drawing/2014/main" id="{5329D5AA-0E3F-43D5-BFFD-9009B8527C0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652450" y="3654992"/>
          <a:ext cx="505937" cy="166168"/>
        </a:xfrm>
        <a:prstGeom prst="rect">
          <a:avLst/>
        </a:prstGeom>
      </xdr:spPr>
    </xdr:pic>
    <xdr:clientData/>
  </xdr:twoCellAnchor>
  <xdr:twoCellAnchor editAs="oneCell">
    <xdr:from>
      <xdr:col>5</xdr:col>
      <xdr:colOff>68207</xdr:colOff>
      <xdr:row>13</xdr:row>
      <xdr:rowOff>53100</xdr:rowOff>
    </xdr:from>
    <xdr:to>
      <xdr:col>5</xdr:col>
      <xdr:colOff>949446</xdr:colOff>
      <xdr:row>13</xdr:row>
      <xdr:rowOff>165147</xdr:rowOff>
    </xdr:to>
    <xdr:pic>
      <xdr:nvPicPr>
        <xdr:cNvPr id="13" name="Imagen 12">
          <a:extLst>
            <a:ext uri="{FF2B5EF4-FFF2-40B4-BE49-F238E27FC236}">
              <a16:creationId xmlns:a16="http://schemas.microsoft.com/office/drawing/2014/main" id="{0D6C632B-2449-421D-95C1-1D018B758DC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088257" y="4167900"/>
          <a:ext cx="881239" cy="112047"/>
        </a:xfrm>
        <a:prstGeom prst="rect">
          <a:avLst/>
        </a:prstGeom>
      </xdr:spPr>
    </xdr:pic>
    <xdr:clientData/>
  </xdr:twoCellAnchor>
  <xdr:twoCellAnchor editAs="oneCell">
    <xdr:from>
      <xdr:col>2</xdr:col>
      <xdr:colOff>292571</xdr:colOff>
      <xdr:row>13</xdr:row>
      <xdr:rowOff>14816</xdr:rowOff>
    </xdr:from>
    <xdr:to>
      <xdr:col>2</xdr:col>
      <xdr:colOff>702871</xdr:colOff>
      <xdr:row>13</xdr:row>
      <xdr:rowOff>181713</xdr:rowOff>
    </xdr:to>
    <xdr:pic>
      <xdr:nvPicPr>
        <xdr:cNvPr id="14" name="Imagen 13">
          <a:extLst>
            <a:ext uri="{FF2B5EF4-FFF2-40B4-BE49-F238E27FC236}">
              <a16:creationId xmlns:a16="http://schemas.microsoft.com/office/drawing/2014/main" id="{3708630D-7DEC-4E51-B121-0DCC2F64464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626571" y="4129616"/>
          <a:ext cx="410300" cy="166897"/>
        </a:xfrm>
        <a:prstGeom prst="rect">
          <a:avLst/>
        </a:prstGeom>
      </xdr:spPr>
    </xdr:pic>
    <xdr:clientData/>
  </xdr:twoCellAnchor>
  <xdr:twoCellAnchor editAs="oneCell">
    <xdr:from>
      <xdr:col>2</xdr:col>
      <xdr:colOff>388746</xdr:colOff>
      <xdr:row>15</xdr:row>
      <xdr:rowOff>28014</xdr:rowOff>
    </xdr:from>
    <xdr:to>
      <xdr:col>2</xdr:col>
      <xdr:colOff>708611</xdr:colOff>
      <xdr:row>15</xdr:row>
      <xdr:rowOff>172839</xdr:rowOff>
    </xdr:to>
    <xdr:pic>
      <xdr:nvPicPr>
        <xdr:cNvPr id="15" name="Imagen 14">
          <a:extLst>
            <a:ext uri="{FF2B5EF4-FFF2-40B4-BE49-F238E27FC236}">
              <a16:creationId xmlns:a16="http://schemas.microsoft.com/office/drawing/2014/main" id="{337050CB-1B69-4614-8DC2-D434A6419CB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722746" y="4523814"/>
          <a:ext cx="319865" cy="144825"/>
        </a:xfrm>
        <a:prstGeom prst="rect">
          <a:avLst/>
        </a:prstGeom>
      </xdr:spPr>
    </xdr:pic>
    <xdr:clientData/>
  </xdr:twoCellAnchor>
  <xdr:twoCellAnchor editAs="oneCell">
    <xdr:from>
      <xdr:col>2</xdr:col>
      <xdr:colOff>333188</xdr:colOff>
      <xdr:row>17</xdr:row>
      <xdr:rowOff>73994</xdr:rowOff>
    </xdr:from>
    <xdr:to>
      <xdr:col>2</xdr:col>
      <xdr:colOff>726742</xdr:colOff>
      <xdr:row>17</xdr:row>
      <xdr:rowOff>252183</xdr:rowOff>
    </xdr:to>
    <xdr:pic>
      <xdr:nvPicPr>
        <xdr:cNvPr id="16" name="Imagen 15">
          <a:extLst>
            <a:ext uri="{FF2B5EF4-FFF2-40B4-BE49-F238E27FC236}">
              <a16:creationId xmlns:a16="http://schemas.microsoft.com/office/drawing/2014/main" id="{0EA8535A-FC5F-4AF6-9E1B-9AEAB7FB82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67188" y="4950794"/>
          <a:ext cx="393554" cy="178189"/>
        </a:xfrm>
        <a:prstGeom prst="rect">
          <a:avLst/>
        </a:prstGeom>
      </xdr:spPr>
    </xdr:pic>
    <xdr:clientData/>
  </xdr:twoCellAnchor>
  <xdr:twoCellAnchor editAs="oneCell">
    <xdr:from>
      <xdr:col>2</xdr:col>
      <xdr:colOff>333485</xdr:colOff>
      <xdr:row>18</xdr:row>
      <xdr:rowOff>109600</xdr:rowOff>
    </xdr:from>
    <xdr:to>
      <xdr:col>2</xdr:col>
      <xdr:colOff>743785</xdr:colOff>
      <xdr:row>18</xdr:row>
      <xdr:rowOff>276497</xdr:rowOff>
    </xdr:to>
    <xdr:pic>
      <xdr:nvPicPr>
        <xdr:cNvPr id="17" name="Imagen 16">
          <a:extLst>
            <a:ext uri="{FF2B5EF4-FFF2-40B4-BE49-F238E27FC236}">
              <a16:creationId xmlns:a16="http://schemas.microsoft.com/office/drawing/2014/main" id="{55D31A50-0F46-42BE-97F3-B1253517CAC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667485" y="5491225"/>
          <a:ext cx="410300" cy="166897"/>
        </a:xfrm>
        <a:prstGeom prst="rect">
          <a:avLst/>
        </a:prstGeom>
      </xdr:spPr>
    </xdr:pic>
    <xdr:clientData/>
  </xdr:twoCellAnchor>
  <xdr:twoCellAnchor editAs="oneCell">
    <xdr:from>
      <xdr:col>3</xdr:col>
      <xdr:colOff>480026</xdr:colOff>
      <xdr:row>16</xdr:row>
      <xdr:rowOff>16809</xdr:rowOff>
    </xdr:from>
    <xdr:to>
      <xdr:col>3</xdr:col>
      <xdr:colOff>640554</xdr:colOff>
      <xdr:row>16</xdr:row>
      <xdr:rowOff>186730</xdr:rowOff>
    </xdr:to>
    <xdr:pic>
      <xdr:nvPicPr>
        <xdr:cNvPr id="18" name="Imagen 17" descr="Logotipo, nombre de la empresa&#10;&#10;Descripción generada automáticamente">
          <a:extLst>
            <a:ext uri="{FF2B5EF4-FFF2-40B4-BE49-F238E27FC236}">
              <a16:creationId xmlns:a16="http://schemas.microsoft.com/office/drawing/2014/main" id="{A654EEA2-270C-408E-A185-DC3F76FEEEC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861776" y="4703109"/>
          <a:ext cx="160528" cy="169921"/>
        </a:xfrm>
        <a:prstGeom prst="rect">
          <a:avLst/>
        </a:prstGeom>
      </xdr:spPr>
    </xdr:pic>
    <xdr:clientData/>
  </xdr:twoCellAnchor>
  <xdr:twoCellAnchor editAs="oneCell">
    <xdr:from>
      <xdr:col>5</xdr:col>
      <xdr:colOff>376672</xdr:colOff>
      <xdr:row>19</xdr:row>
      <xdr:rowOff>73963</xdr:rowOff>
    </xdr:from>
    <xdr:to>
      <xdr:col>5</xdr:col>
      <xdr:colOff>536292</xdr:colOff>
      <xdr:row>19</xdr:row>
      <xdr:rowOff>169495</xdr:rowOff>
    </xdr:to>
    <xdr:pic>
      <xdr:nvPicPr>
        <xdr:cNvPr id="19" name="Imagen 18" descr="Logotipo&#10;&#10;Descripción generada automáticamente">
          <a:extLst>
            <a:ext uri="{FF2B5EF4-FFF2-40B4-BE49-F238E27FC236}">
              <a16:creationId xmlns:a16="http://schemas.microsoft.com/office/drawing/2014/main" id="{6F78B6E0-BFB3-4A40-8D71-AB5AA7C7F80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837473B0-CC2E-450A-ABE3-18F120FF3D39}">
              <a1611:picAttrSrcUrl xmlns:a1611="http://schemas.microsoft.com/office/drawing/2016/11/main" r:id="rId16"/>
            </a:ext>
          </a:extLst>
        </a:blip>
        <a:stretch>
          <a:fillRect/>
        </a:stretch>
      </xdr:blipFill>
      <xdr:spPr>
        <a:xfrm>
          <a:off x="8396722" y="5836588"/>
          <a:ext cx="159620" cy="95532"/>
        </a:xfrm>
        <a:prstGeom prst="rect">
          <a:avLst/>
        </a:prstGeom>
      </xdr:spPr>
    </xdr:pic>
    <xdr:clientData/>
  </xdr:twoCellAnchor>
  <xdr:twoCellAnchor editAs="oneCell">
    <xdr:from>
      <xdr:col>5</xdr:col>
      <xdr:colOff>10741</xdr:colOff>
      <xdr:row>19</xdr:row>
      <xdr:rowOff>45577</xdr:rowOff>
    </xdr:from>
    <xdr:to>
      <xdr:col>5</xdr:col>
      <xdr:colOff>360574</xdr:colOff>
      <xdr:row>19</xdr:row>
      <xdr:rowOff>161910</xdr:rowOff>
    </xdr:to>
    <xdr:pic>
      <xdr:nvPicPr>
        <xdr:cNvPr id="20" name="Imagen 19">
          <a:extLst>
            <a:ext uri="{FF2B5EF4-FFF2-40B4-BE49-F238E27FC236}">
              <a16:creationId xmlns:a16="http://schemas.microsoft.com/office/drawing/2014/main" id="{4023006F-600E-4263-AD91-EC892542C89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8030791" y="5808202"/>
          <a:ext cx="349833" cy="116333"/>
        </a:xfrm>
        <a:prstGeom prst="rect">
          <a:avLst/>
        </a:prstGeom>
      </xdr:spPr>
    </xdr:pic>
    <xdr:clientData/>
  </xdr:twoCellAnchor>
  <xdr:twoCellAnchor editAs="oneCell">
    <xdr:from>
      <xdr:col>5</xdr:col>
      <xdr:colOff>537466</xdr:colOff>
      <xdr:row>19</xdr:row>
      <xdr:rowOff>44739</xdr:rowOff>
    </xdr:from>
    <xdr:to>
      <xdr:col>5</xdr:col>
      <xdr:colOff>971309</xdr:colOff>
      <xdr:row>19</xdr:row>
      <xdr:rowOff>154781</xdr:rowOff>
    </xdr:to>
    <xdr:pic>
      <xdr:nvPicPr>
        <xdr:cNvPr id="21" name="Imagen 20" descr="Imagen que contiene dibujo&#10;&#10;Descripción generada automáticamente">
          <a:extLst>
            <a:ext uri="{FF2B5EF4-FFF2-40B4-BE49-F238E27FC236}">
              <a16:creationId xmlns:a16="http://schemas.microsoft.com/office/drawing/2014/main" id="{0CB681E2-C582-447F-980D-A8D3E345B861}"/>
            </a:ext>
          </a:extLst>
        </xdr:cNvPr>
        <xdr:cNvPicPr>
          <a:picLocks noChangeAspect="1"/>
        </xdr:cNvPicPr>
      </xdr:nvPicPr>
      <xdr:blipFill rotWithShape="1">
        <a:blip xmlns:r="http://schemas.openxmlformats.org/officeDocument/2006/relationships" r:embed="rId18" cstate="print">
          <a:clrChange>
            <a:clrFrom>
              <a:srgbClr val="FFFFFF"/>
            </a:clrFrom>
            <a:clrTo>
              <a:srgbClr val="FFFFFF">
                <a:alpha val="0"/>
              </a:srgbClr>
            </a:clrTo>
          </a:clrChange>
          <a:extLst>
            <a:ext uri="{28A0092B-C50C-407E-A947-70E740481C1C}">
              <a14:useLocalDpi xmlns:a14="http://schemas.microsoft.com/office/drawing/2010/main" val="0"/>
            </a:ext>
            <a:ext uri="{837473B0-CC2E-450A-ABE3-18F120FF3D39}">
              <a1611:picAttrSrcUrl xmlns:a1611="http://schemas.microsoft.com/office/drawing/2016/11/main" r:id="rId19"/>
            </a:ext>
          </a:extLst>
        </a:blip>
        <a:srcRect l="7735" t="18198" r="7065" b="22012"/>
        <a:stretch/>
      </xdr:blipFill>
      <xdr:spPr>
        <a:xfrm>
          <a:off x="8557516" y="5807364"/>
          <a:ext cx="433843" cy="110042"/>
        </a:xfrm>
        <a:prstGeom prst="rect">
          <a:avLst/>
        </a:prstGeom>
      </xdr:spPr>
    </xdr:pic>
    <xdr:clientData/>
  </xdr:twoCellAnchor>
  <xdr:twoCellAnchor editAs="oneCell">
    <xdr:from>
      <xdr:col>5</xdr:col>
      <xdr:colOff>603259</xdr:colOff>
      <xdr:row>21</xdr:row>
      <xdr:rowOff>236932</xdr:rowOff>
    </xdr:from>
    <xdr:to>
      <xdr:col>6</xdr:col>
      <xdr:colOff>22986</xdr:colOff>
      <xdr:row>21</xdr:row>
      <xdr:rowOff>428625</xdr:rowOff>
    </xdr:to>
    <xdr:pic>
      <xdr:nvPicPr>
        <xdr:cNvPr id="22" name="Imagen 21" descr="Imagen que contiene reloj&#10;&#10;Descripción generada automáticamente">
          <a:extLst>
            <a:ext uri="{FF2B5EF4-FFF2-40B4-BE49-F238E27FC236}">
              <a16:creationId xmlns:a16="http://schemas.microsoft.com/office/drawing/2014/main" id="{5E0E9293-A157-489E-A14B-33EEAF20758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837473B0-CC2E-450A-ABE3-18F120FF3D39}">
              <a1611:picAttrSrcUrl xmlns:a1611="http://schemas.microsoft.com/office/drawing/2016/11/main" r:id="rId21"/>
            </a:ext>
          </a:extLst>
        </a:blip>
        <a:stretch>
          <a:fillRect/>
        </a:stretch>
      </xdr:blipFill>
      <xdr:spPr>
        <a:xfrm>
          <a:off x="8623309" y="6571057"/>
          <a:ext cx="400802" cy="191693"/>
        </a:xfrm>
        <a:prstGeom prst="rect">
          <a:avLst/>
        </a:prstGeom>
      </xdr:spPr>
    </xdr:pic>
    <xdr:clientData/>
  </xdr:twoCellAnchor>
  <xdr:twoCellAnchor editAs="oneCell">
    <xdr:from>
      <xdr:col>3</xdr:col>
      <xdr:colOff>176542</xdr:colOff>
      <xdr:row>12</xdr:row>
      <xdr:rowOff>1</xdr:rowOff>
    </xdr:from>
    <xdr:to>
      <xdr:col>3</xdr:col>
      <xdr:colOff>942758</xdr:colOff>
      <xdr:row>13</xdr:row>
      <xdr:rowOff>1673</xdr:rowOff>
    </xdr:to>
    <xdr:pic>
      <xdr:nvPicPr>
        <xdr:cNvPr id="23" name="Imagen 22" descr="Imagen que contiene reloj, dibujo&#10;&#10;Descripción generada automáticamente">
          <a:extLst>
            <a:ext uri="{FF2B5EF4-FFF2-40B4-BE49-F238E27FC236}">
              <a16:creationId xmlns:a16="http://schemas.microsoft.com/office/drawing/2014/main" id="{9CA56D0F-9981-46EF-886F-8DFD4D3AED1E}"/>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837473B0-CC2E-450A-ABE3-18F120FF3D39}">
              <a1611:picAttrSrcUrl xmlns:a1611="http://schemas.microsoft.com/office/drawing/2016/11/main" r:id="rId23"/>
            </a:ext>
          </a:extLst>
        </a:blip>
        <a:stretch>
          <a:fillRect/>
        </a:stretch>
      </xdr:blipFill>
      <xdr:spPr>
        <a:xfrm>
          <a:off x="6558292" y="3924301"/>
          <a:ext cx="766216" cy="192172"/>
        </a:xfrm>
        <a:prstGeom prst="rect">
          <a:avLst/>
        </a:prstGeom>
      </xdr:spPr>
    </xdr:pic>
    <xdr:clientData/>
  </xdr:twoCellAnchor>
  <xdr:twoCellAnchor editAs="oneCell">
    <xdr:from>
      <xdr:col>3</xdr:col>
      <xdr:colOff>488605</xdr:colOff>
      <xdr:row>9</xdr:row>
      <xdr:rowOff>174625</xdr:rowOff>
    </xdr:from>
    <xdr:to>
      <xdr:col>3</xdr:col>
      <xdr:colOff>606702</xdr:colOff>
      <xdr:row>11</xdr:row>
      <xdr:rowOff>6299</xdr:rowOff>
    </xdr:to>
    <xdr:pic>
      <xdr:nvPicPr>
        <xdr:cNvPr id="24" name="Imagen 23">
          <a:extLst>
            <a:ext uri="{FF2B5EF4-FFF2-40B4-BE49-F238E27FC236}">
              <a16:creationId xmlns:a16="http://schemas.microsoft.com/office/drawing/2014/main" id="{528EE687-06B0-4EBE-B2EE-571ED8286EF9}"/>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837473B0-CC2E-450A-ABE3-18F120FF3D39}">
              <a1611:picAttrSrcUrl xmlns:a1611="http://schemas.microsoft.com/office/drawing/2016/11/main" r:id="rId25"/>
            </a:ext>
          </a:extLst>
        </a:blip>
        <a:stretch>
          <a:fillRect/>
        </a:stretch>
      </xdr:blipFill>
      <xdr:spPr>
        <a:xfrm>
          <a:off x="6870355" y="3336925"/>
          <a:ext cx="118097" cy="212674"/>
        </a:xfrm>
        <a:prstGeom prst="rect">
          <a:avLst/>
        </a:prstGeom>
      </xdr:spPr>
    </xdr:pic>
    <xdr:clientData/>
  </xdr:twoCellAnchor>
  <xdr:twoCellAnchor editAs="oneCell">
    <xdr:from>
      <xdr:col>3</xdr:col>
      <xdr:colOff>301752</xdr:colOff>
      <xdr:row>17</xdr:row>
      <xdr:rowOff>341583</xdr:rowOff>
    </xdr:from>
    <xdr:to>
      <xdr:col>3</xdr:col>
      <xdr:colOff>761710</xdr:colOff>
      <xdr:row>17</xdr:row>
      <xdr:rowOff>442264</xdr:rowOff>
    </xdr:to>
    <xdr:pic>
      <xdr:nvPicPr>
        <xdr:cNvPr id="25" name="Imagen 24">
          <a:extLst>
            <a:ext uri="{FF2B5EF4-FFF2-40B4-BE49-F238E27FC236}">
              <a16:creationId xmlns:a16="http://schemas.microsoft.com/office/drawing/2014/main" id="{6EB7B547-3F7D-4A0E-97AE-CCB9867806A4}"/>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 uri="{837473B0-CC2E-450A-ABE3-18F120FF3D39}">
              <a1611:picAttrSrcUrl xmlns:a1611="http://schemas.microsoft.com/office/drawing/2016/11/main" r:id="rId27"/>
            </a:ext>
          </a:extLst>
        </a:blip>
        <a:stretch>
          <a:fillRect/>
        </a:stretch>
      </xdr:blipFill>
      <xdr:spPr>
        <a:xfrm>
          <a:off x="6683502" y="5218383"/>
          <a:ext cx="459958" cy="100681"/>
        </a:xfrm>
        <a:prstGeom prst="rect">
          <a:avLst/>
        </a:prstGeom>
      </xdr:spPr>
    </xdr:pic>
    <xdr:clientData/>
  </xdr:twoCellAnchor>
  <xdr:twoCellAnchor editAs="oneCell">
    <xdr:from>
      <xdr:col>4</xdr:col>
      <xdr:colOff>580450</xdr:colOff>
      <xdr:row>21</xdr:row>
      <xdr:rowOff>183388</xdr:rowOff>
    </xdr:from>
    <xdr:to>
      <xdr:col>5</xdr:col>
      <xdr:colOff>342284</xdr:colOff>
      <xdr:row>21</xdr:row>
      <xdr:rowOff>477136</xdr:rowOff>
    </xdr:to>
    <xdr:pic>
      <xdr:nvPicPr>
        <xdr:cNvPr id="26" name="Imagen 25" descr="Imagen que contiene señal&#10;&#10;Descripción generada automáticamente">
          <a:extLst>
            <a:ext uri="{FF2B5EF4-FFF2-40B4-BE49-F238E27FC236}">
              <a16:creationId xmlns:a16="http://schemas.microsoft.com/office/drawing/2014/main" id="{EFB7F728-EAFE-43D9-866D-189F7CC2E802}"/>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 uri="{837473B0-CC2E-450A-ABE3-18F120FF3D39}">
              <a1611:picAttrSrcUrl xmlns:a1611="http://schemas.microsoft.com/office/drawing/2016/11/main" r:id="rId29"/>
            </a:ext>
          </a:extLst>
        </a:blip>
        <a:stretch>
          <a:fillRect/>
        </a:stretch>
      </xdr:blipFill>
      <xdr:spPr>
        <a:xfrm>
          <a:off x="8009950" y="6517513"/>
          <a:ext cx="352384" cy="293748"/>
        </a:xfrm>
        <a:prstGeom prst="rect">
          <a:avLst/>
        </a:prstGeom>
      </xdr:spPr>
    </xdr:pic>
    <xdr:clientData/>
  </xdr:twoCellAnchor>
  <xdr:twoCellAnchor editAs="oneCell">
    <xdr:from>
      <xdr:col>5</xdr:col>
      <xdr:colOff>330738</xdr:colOff>
      <xdr:row>21</xdr:row>
      <xdr:rowOff>216523</xdr:rowOff>
    </xdr:from>
    <xdr:to>
      <xdr:col>5</xdr:col>
      <xdr:colOff>637217</xdr:colOff>
      <xdr:row>21</xdr:row>
      <xdr:rowOff>443699</xdr:rowOff>
    </xdr:to>
    <xdr:pic>
      <xdr:nvPicPr>
        <xdr:cNvPr id="27" name="Imagen 26">
          <a:extLst>
            <a:ext uri="{FF2B5EF4-FFF2-40B4-BE49-F238E27FC236}">
              <a16:creationId xmlns:a16="http://schemas.microsoft.com/office/drawing/2014/main" id="{CE574413-8C47-4139-A088-6A0C39471D0C}"/>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 uri="{837473B0-CC2E-450A-ABE3-18F120FF3D39}">
              <a1611:picAttrSrcUrl xmlns:a1611="http://schemas.microsoft.com/office/drawing/2016/11/main" r:id="rId31"/>
            </a:ext>
          </a:extLst>
        </a:blip>
        <a:stretch>
          <a:fillRect/>
        </a:stretch>
      </xdr:blipFill>
      <xdr:spPr>
        <a:xfrm>
          <a:off x="8350788" y="6550648"/>
          <a:ext cx="306479" cy="227176"/>
        </a:xfrm>
        <a:prstGeom prst="rect">
          <a:avLst/>
        </a:prstGeom>
      </xdr:spPr>
    </xdr:pic>
    <xdr:clientData/>
  </xdr:twoCellAnchor>
  <xdr:twoCellAnchor editAs="oneCell">
    <xdr:from>
      <xdr:col>3</xdr:col>
      <xdr:colOff>292443</xdr:colOff>
      <xdr:row>18</xdr:row>
      <xdr:rowOff>78120</xdr:rowOff>
    </xdr:from>
    <xdr:to>
      <xdr:col>3</xdr:col>
      <xdr:colOff>813552</xdr:colOff>
      <xdr:row>18</xdr:row>
      <xdr:rowOff>259627</xdr:rowOff>
    </xdr:to>
    <xdr:pic>
      <xdr:nvPicPr>
        <xdr:cNvPr id="28" name="Picture 2">
          <a:extLst>
            <a:ext uri="{FF2B5EF4-FFF2-40B4-BE49-F238E27FC236}">
              <a16:creationId xmlns:a16="http://schemas.microsoft.com/office/drawing/2014/main" id="{1D36D292-65D4-4669-9AEF-36294DFD317A}"/>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6674193" y="5459745"/>
          <a:ext cx="521109" cy="1815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26448</xdr:colOff>
      <xdr:row>14</xdr:row>
      <xdr:rowOff>6803</xdr:rowOff>
    </xdr:from>
    <xdr:to>
      <xdr:col>2</xdr:col>
      <xdr:colOff>1013380</xdr:colOff>
      <xdr:row>15</xdr:row>
      <xdr:rowOff>15789</xdr:rowOff>
    </xdr:to>
    <xdr:pic>
      <xdr:nvPicPr>
        <xdr:cNvPr id="29" name="Imagen 28">
          <a:extLst>
            <a:ext uri="{FF2B5EF4-FFF2-40B4-BE49-F238E27FC236}">
              <a16:creationId xmlns:a16="http://schemas.microsoft.com/office/drawing/2014/main" id="{C105A2EE-68FC-4792-BF7A-29D23965060D}"/>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5360448" y="4312103"/>
          <a:ext cx="986932" cy="199486"/>
        </a:xfrm>
        <a:prstGeom prst="rect">
          <a:avLst/>
        </a:prstGeom>
      </xdr:spPr>
    </xdr:pic>
    <xdr:clientData/>
  </xdr:twoCellAnchor>
  <xdr:twoCellAnchor editAs="oneCell">
    <xdr:from>
      <xdr:col>2</xdr:col>
      <xdr:colOff>49777</xdr:colOff>
      <xdr:row>20</xdr:row>
      <xdr:rowOff>89261</xdr:rowOff>
    </xdr:from>
    <xdr:to>
      <xdr:col>2</xdr:col>
      <xdr:colOff>1036709</xdr:colOff>
      <xdr:row>20</xdr:row>
      <xdr:rowOff>288747</xdr:rowOff>
    </xdr:to>
    <xdr:pic>
      <xdr:nvPicPr>
        <xdr:cNvPr id="30" name="Imagen 29">
          <a:extLst>
            <a:ext uri="{FF2B5EF4-FFF2-40B4-BE49-F238E27FC236}">
              <a16:creationId xmlns:a16="http://schemas.microsoft.com/office/drawing/2014/main" id="{BBA75F4E-7A39-4B84-92E3-61B196AB9A94}"/>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5383777" y="6042386"/>
          <a:ext cx="986932" cy="199486"/>
        </a:xfrm>
        <a:prstGeom prst="rect">
          <a:avLst/>
        </a:prstGeom>
      </xdr:spPr>
    </xdr:pic>
    <xdr:clientData/>
  </xdr:twoCellAnchor>
  <xdr:twoCellAnchor editAs="oneCell">
    <xdr:from>
      <xdr:col>2</xdr:col>
      <xdr:colOff>57140</xdr:colOff>
      <xdr:row>9</xdr:row>
      <xdr:rowOff>16328</xdr:rowOff>
    </xdr:from>
    <xdr:to>
      <xdr:col>2</xdr:col>
      <xdr:colOff>1044072</xdr:colOff>
      <xdr:row>10</xdr:row>
      <xdr:rowOff>25314</xdr:rowOff>
    </xdr:to>
    <xdr:pic>
      <xdr:nvPicPr>
        <xdr:cNvPr id="31" name="Imagen 30">
          <a:extLst>
            <a:ext uri="{FF2B5EF4-FFF2-40B4-BE49-F238E27FC236}">
              <a16:creationId xmlns:a16="http://schemas.microsoft.com/office/drawing/2014/main" id="{F7DDC3EE-357A-4B9E-87A6-EC521A5D3DCA}"/>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5391140" y="3178628"/>
          <a:ext cx="986932" cy="199486"/>
        </a:xfrm>
        <a:prstGeom prst="rect">
          <a:avLst/>
        </a:prstGeom>
      </xdr:spPr>
    </xdr:pic>
    <xdr:clientData/>
  </xdr:twoCellAnchor>
  <xdr:twoCellAnchor editAs="oneCell">
    <xdr:from>
      <xdr:col>2</xdr:col>
      <xdr:colOff>56082</xdr:colOff>
      <xdr:row>8</xdr:row>
      <xdr:rowOff>4686</xdr:rowOff>
    </xdr:from>
    <xdr:to>
      <xdr:col>2</xdr:col>
      <xdr:colOff>1043014</xdr:colOff>
      <xdr:row>9</xdr:row>
      <xdr:rowOff>13672</xdr:rowOff>
    </xdr:to>
    <xdr:pic>
      <xdr:nvPicPr>
        <xdr:cNvPr id="32" name="Imagen 31">
          <a:extLst>
            <a:ext uri="{FF2B5EF4-FFF2-40B4-BE49-F238E27FC236}">
              <a16:creationId xmlns:a16="http://schemas.microsoft.com/office/drawing/2014/main" id="{302E5FC8-8A62-4B78-AE9B-7AE1C70D7E2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5390082" y="2976486"/>
          <a:ext cx="986932" cy="199486"/>
        </a:xfrm>
        <a:prstGeom prst="rect">
          <a:avLst/>
        </a:prstGeom>
      </xdr:spPr>
    </xdr:pic>
    <xdr:clientData/>
  </xdr:twoCellAnchor>
  <xdr:twoCellAnchor editAs="oneCell">
    <xdr:from>
      <xdr:col>2</xdr:col>
      <xdr:colOff>65607</xdr:colOff>
      <xdr:row>6</xdr:row>
      <xdr:rowOff>104169</xdr:rowOff>
    </xdr:from>
    <xdr:to>
      <xdr:col>3</xdr:col>
      <xdr:colOff>4789</xdr:colOff>
      <xdr:row>6</xdr:row>
      <xdr:rowOff>303655</xdr:rowOff>
    </xdr:to>
    <xdr:pic>
      <xdr:nvPicPr>
        <xdr:cNvPr id="33" name="Imagen 32">
          <a:extLst>
            <a:ext uri="{FF2B5EF4-FFF2-40B4-BE49-F238E27FC236}">
              <a16:creationId xmlns:a16="http://schemas.microsoft.com/office/drawing/2014/main" id="{008CBF28-2707-46A8-A84C-E7F41AE9BFE1}"/>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5399607" y="2513994"/>
          <a:ext cx="986932" cy="199486"/>
        </a:xfrm>
        <a:prstGeom prst="rect">
          <a:avLst/>
        </a:prstGeom>
      </xdr:spPr>
    </xdr:pic>
    <xdr:clientData/>
  </xdr:twoCellAnchor>
  <xdr:twoCellAnchor editAs="oneCell">
    <xdr:from>
      <xdr:col>2</xdr:col>
      <xdr:colOff>72534</xdr:colOff>
      <xdr:row>19</xdr:row>
      <xdr:rowOff>11256</xdr:rowOff>
    </xdr:from>
    <xdr:to>
      <xdr:col>2</xdr:col>
      <xdr:colOff>482834</xdr:colOff>
      <xdr:row>19</xdr:row>
      <xdr:rowOff>178153</xdr:rowOff>
    </xdr:to>
    <xdr:pic>
      <xdr:nvPicPr>
        <xdr:cNvPr id="34" name="Imagen 33">
          <a:extLst>
            <a:ext uri="{FF2B5EF4-FFF2-40B4-BE49-F238E27FC236}">
              <a16:creationId xmlns:a16="http://schemas.microsoft.com/office/drawing/2014/main" id="{02033C3A-850E-4C2B-B57F-A3D08B64BAA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406534" y="5773881"/>
          <a:ext cx="410300" cy="166897"/>
        </a:xfrm>
        <a:prstGeom prst="rect">
          <a:avLst/>
        </a:prstGeom>
      </xdr:spPr>
    </xdr:pic>
    <xdr:clientData/>
  </xdr:twoCellAnchor>
  <xdr:twoCellAnchor editAs="oneCell">
    <xdr:from>
      <xdr:col>2</xdr:col>
      <xdr:colOff>522963</xdr:colOff>
      <xdr:row>19</xdr:row>
      <xdr:rowOff>22202</xdr:rowOff>
    </xdr:from>
    <xdr:to>
      <xdr:col>2</xdr:col>
      <xdr:colOff>1029357</xdr:colOff>
      <xdr:row>19</xdr:row>
      <xdr:rowOff>189441</xdr:rowOff>
    </xdr:to>
    <xdr:pic>
      <xdr:nvPicPr>
        <xdr:cNvPr id="35" name="Imagen 34">
          <a:extLst>
            <a:ext uri="{FF2B5EF4-FFF2-40B4-BE49-F238E27FC236}">
              <a16:creationId xmlns:a16="http://schemas.microsoft.com/office/drawing/2014/main" id="{1C3F5719-F1FA-4284-ABC2-84D6A286AC28}"/>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5856963" y="5784827"/>
          <a:ext cx="506394" cy="167239"/>
        </a:xfrm>
        <a:prstGeom prst="rect">
          <a:avLst/>
        </a:prstGeom>
      </xdr:spPr>
    </xdr:pic>
    <xdr:clientData/>
  </xdr:twoCellAnchor>
  <xdr:twoCellAnchor editAs="oneCell">
    <xdr:from>
      <xdr:col>2</xdr:col>
      <xdr:colOff>242945</xdr:colOff>
      <xdr:row>16</xdr:row>
      <xdr:rowOff>7074</xdr:rowOff>
    </xdr:from>
    <xdr:to>
      <xdr:col>2</xdr:col>
      <xdr:colOff>816232</xdr:colOff>
      <xdr:row>16</xdr:row>
      <xdr:rowOff>181093</xdr:rowOff>
    </xdr:to>
    <xdr:pic>
      <xdr:nvPicPr>
        <xdr:cNvPr id="36" name="Imagen 35">
          <a:extLst>
            <a:ext uri="{FF2B5EF4-FFF2-40B4-BE49-F238E27FC236}">
              <a16:creationId xmlns:a16="http://schemas.microsoft.com/office/drawing/2014/main" id="{ED3FCCA4-2609-4C18-9860-BC1616E83613}"/>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5576945" y="4693374"/>
          <a:ext cx="573287" cy="1740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158749</xdr:colOff>
      <xdr:row>16</xdr:row>
      <xdr:rowOff>28514</xdr:rowOff>
    </xdr:from>
    <xdr:to>
      <xdr:col>5</xdr:col>
      <xdr:colOff>308162</xdr:colOff>
      <xdr:row>16</xdr:row>
      <xdr:rowOff>178594</xdr:rowOff>
    </xdr:to>
    <xdr:pic>
      <xdr:nvPicPr>
        <xdr:cNvPr id="37" name="Imagen 36">
          <a:extLst>
            <a:ext uri="{FF2B5EF4-FFF2-40B4-BE49-F238E27FC236}">
              <a16:creationId xmlns:a16="http://schemas.microsoft.com/office/drawing/2014/main" id="{5D9D76E6-2A3E-4E6F-8F6F-717FF5D3DBEF}"/>
            </a:ext>
          </a:extLst>
        </xdr:cNvPr>
        <xdr:cNvPicPr>
          <a:picLocks noChangeAspect="1"/>
        </xdr:cNvPicPr>
      </xdr:nvPicPr>
      <xdr:blipFill>
        <a:blip xmlns:r="http://schemas.openxmlformats.org/officeDocument/2006/relationships" r:embed="rId36"/>
        <a:stretch>
          <a:fillRect/>
        </a:stretch>
      </xdr:blipFill>
      <xdr:spPr>
        <a:xfrm>
          <a:off x="8178799" y="4714814"/>
          <a:ext cx="149413" cy="150080"/>
        </a:xfrm>
        <a:prstGeom prst="rect">
          <a:avLst/>
        </a:prstGeom>
      </xdr:spPr>
    </xdr:pic>
    <xdr:clientData/>
  </xdr:twoCellAnchor>
  <xdr:twoCellAnchor editAs="oneCell">
    <xdr:from>
      <xdr:col>2</xdr:col>
      <xdr:colOff>79365</xdr:colOff>
      <xdr:row>12</xdr:row>
      <xdr:rowOff>15876</xdr:rowOff>
    </xdr:from>
    <xdr:to>
      <xdr:col>2</xdr:col>
      <xdr:colOff>965754</xdr:colOff>
      <xdr:row>12</xdr:row>
      <xdr:rowOff>182000</xdr:rowOff>
    </xdr:to>
    <xdr:pic>
      <xdr:nvPicPr>
        <xdr:cNvPr id="38" name="Imagen 37">
          <a:extLst>
            <a:ext uri="{FF2B5EF4-FFF2-40B4-BE49-F238E27FC236}">
              <a16:creationId xmlns:a16="http://schemas.microsoft.com/office/drawing/2014/main" id="{A7032CB6-AF26-4888-B223-279AE21042D7}"/>
            </a:ext>
          </a:extLst>
        </xdr:cNvPr>
        <xdr:cNvPicPr>
          <a:picLocks noChangeAspect="1" noChangeArrowheads="1"/>
        </xdr:cNvPicPr>
      </xdr:nvPicPr>
      <xdr:blipFill rotWithShape="1">
        <a:blip xmlns:r="http://schemas.openxmlformats.org/officeDocument/2006/relationships" r:embed="rId37" cstate="print">
          <a:extLst>
            <a:ext uri="{28A0092B-C50C-407E-A947-70E740481C1C}">
              <a14:useLocalDpi xmlns:a14="http://schemas.microsoft.com/office/drawing/2010/main" val="0"/>
            </a:ext>
          </a:extLst>
        </a:blip>
        <a:srcRect t="34164" b="33908"/>
        <a:stretch/>
      </xdr:blipFill>
      <xdr:spPr bwMode="auto">
        <a:xfrm>
          <a:off x="5413365" y="3940176"/>
          <a:ext cx="886389" cy="1661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58567</xdr:colOff>
      <xdr:row>4</xdr:row>
      <xdr:rowOff>1879</xdr:rowOff>
    </xdr:from>
    <xdr:to>
      <xdr:col>2</xdr:col>
      <xdr:colOff>1045499</xdr:colOff>
      <xdr:row>5</xdr:row>
      <xdr:rowOff>10865</xdr:rowOff>
    </xdr:to>
    <xdr:pic>
      <xdr:nvPicPr>
        <xdr:cNvPr id="39" name="Imagen 38">
          <a:extLst>
            <a:ext uri="{FF2B5EF4-FFF2-40B4-BE49-F238E27FC236}">
              <a16:creationId xmlns:a16="http://schemas.microsoft.com/office/drawing/2014/main" id="{75D8AFF1-3FE7-4E1F-825C-956DD4CB36BF}"/>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5392567" y="2030704"/>
          <a:ext cx="986932" cy="199486"/>
        </a:xfrm>
        <a:prstGeom prst="rect">
          <a:avLst/>
        </a:prstGeom>
      </xdr:spPr>
    </xdr:pic>
    <xdr:clientData/>
  </xdr:twoCellAnchor>
  <xdr:twoCellAnchor editAs="oneCell">
    <xdr:from>
      <xdr:col>5</xdr:col>
      <xdr:colOff>370993</xdr:colOff>
      <xdr:row>2</xdr:row>
      <xdr:rowOff>33618</xdr:rowOff>
    </xdr:from>
    <xdr:to>
      <xdr:col>5</xdr:col>
      <xdr:colOff>677955</xdr:colOff>
      <xdr:row>2</xdr:row>
      <xdr:rowOff>180583</xdr:rowOff>
    </xdr:to>
    <xdr:pic>
      <xdr:nvPicPr>
        <xdr:cNvPr id="40" name="Imagen 39">
          <a:extLst>
            <a:ext uri="{FF2B5EF4-FFF2-40B4-BE49-F238E27FC236}">
              <a16:creationId xmlns:a16="http://schemas.microsoft.com/office/drawing/2014/main" id="{E8EC08D5-D55F-4218-AA62-A1EBED44085B}"/>
            </a:ext>
          </a:extLst>
        </xdr:cNvPr>
        <xdr:cNvPicPr>
          <a:picLocks noChangeAspect="1"/>
        </xdr:cNvPicPr>
      </xdr:nvPicPr>
      <xdr:blipFill rotWithShape="1">
        <a:blip xmlns:r="http://schemas.openxmlformats.org/officeDocument/2006/relationships" r:embed="rId38" cstate="print">
          <a:duotone>
            <a:prstClr val="black"/>
            <a:schemeClr val="tx2">
              <a:tint val="45000"/>
              <a:satMod val="400000"/>
            </a:schemeClr>
          </a:duotone>
          <a:extLst>
            <a:ext uri="{28A0092B-C50C-407E-A947-70E740481C1C}">
              <a14:useLocalDpi xmlns:a14="http://schemas.microsoft.com/office/drawing/2010/main" val="0"/>
            </a:ext>
          </a:extLst>
        </a:blip>
        <a:srcRect t="18739" b="34781"/>
        <a:stretch/>
      </xdr:blipFill>
      <xdr:spPr>
        <a:xfrm>
          <a:off x="8391043" y="1671918"/>
          <a:ext cx="306962" cy="146965"/>
        </a:xfrm>
        <a:prstGeom prst="rect">
          <a:avLst/>
        </a:prstGeom>
      </xdr:spPr>
    </xdr:pic>
    <xdr:clientData/>
  </xdr:twoCellAnchor>
  <xdr:twoCellAnchor editAs="oneCell">
    <xdr:from>
      <xdr:col>3</xdr:col>
      <xdr:colOff>291185</xdr:colOff>
      <xdr:row>17</xdr:row>
      <xdr:rowOff>113493</xdr:rowOff>
    </xdr:from>
    <xdr:to>
      <xdr:col>3</xdr:col>
      <xdr:colOff>736349</xdr:colOff>
      <xdr:row>17</xdr:row>
      <xdr:rowOff>249141</xdr:rowOff>
    </xdr:to>
    <xdr:pic>
      <xdr:nvPicPr>
        <xdr:cNvPr id="41" name="Imagen 40">
          <a:extLst>
            <a:ext uri="{FF2B5EF4-FFF2-40B4-BE49-F238E27FC236}">
              <a16:creationId xmlns:a16="http://schemas.microsoft.com/office/drawing/2014/main" id="{4EAA8CCA-77CE-4F69-94A3-77F097AD17BA}"/>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6672935" y="4990293"/>
          <a:ext cx="445164" cy="135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130728</xdr:colOff>
      <xdr:row>23</xdr:row>
      <xdr:rowOff>125638</xdr:rowOff>
    </xdr:from>
    <xdr:to>
      <xdr:col>4</xdr:col>
      <xdr:colOff>464617</xdr:colOff>
      <xdr:row>25</xdr:row>
      <xdr:rowOff>72342</xdr:rowOff>
    </xdr:to>
    <xdr:pic>
      <xdr:nvPicPr>
        <xdr:cNvPr id="42" name="Imagen 41">
          <a:extLst>
            <a:ext uri="{FF2B5EF4-FFF2-40B4-BE49-F238E27FC236}">
              <a16:creationId xmlns:a16="http://schemas.microsoft.com/office/drawing/2014/main" id="{DD30ED02-3ABF-4F86-9189-3BC8F4EDF3D3}"/>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7560228" y="7183663"/>
          <a:ext cx="333889" cy="327704"/>
        </a:xfrm>
        <a:prstGeom prst="rect">
          <a:avLst/>
        </a:prstGeom>
      </xdr:spPr>
    </xdr:pic>
    <xdr:clientData/>
  </xdr:twoCellAnchor>
  <xdr:twoCellAnchor editAs="oneCell">
    <xdr:from>
      <xdr:col>4</xdr:col>
      <xdr:colOff>585513</xdr:colOff>
      <xdr:row>6</xdr:row>
      <xdr:rowOff>100200</xdr:rowOff>
    </xdr:from>
    <xdr:to>
      <xdr:col>6</xdr:col>
      <xdr:colOff>5716</xdr:colOff>
      <xdr:row>6</xdr:row>
      <xdr:rowOff>299686</xdr:rowOff>
    </xdr:to>
    <xdr:pic>
      <xdr:nvPicPr>
        <xdr:cNvPr id="43" name="Imagen 42">
          <a:extLst>
            <a:ext uri="{FF2B5EF4-FFF2-40B4-BE49-F238E27FC236}">
              <a16:creationId xmlns:a16="http://schemas.microsoft.com/office/drawing/2014/main" id="{9DDAC614-AA69-4868-B8C9-EC55373B7723}"/>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8015013" y="2510025"/>
          <a:ext cx="991828" cy="199486"/>
        </a:xfrm>
        <a:prstGeom prst="rect">
          <a:avLst/>
        </a:prstGeom>
      </xdr:spPr>
    </xdr:pic>
    <xdr:clientData/>
  </xdr:twoCellAnchor>
  <xdr:twoCellAnchor editAs="oneCell">
    <xdr:from>
      <xdr:col>5</xdr:col>
      <xdr:colOff>7664</xdr:colOff>
      <xdr:row>7</xdr:row>
      <xdr:rowOff>189100</xdr:rowOff>
    </xdr:from>
    <xdr:to>
      <xdr:col>6</xdr:col>
      <xdr:colOff>16118</xdr:colOff>
      <xdr:row>9</xdr:row>
      <xdr:rowOff>5999</xdr:rowOff>
    </xdr:to>
    <xdr:pic>
      <xdr:nvPicPr>
        <xdr:cNvPr id="44" name="Imagen 43">
          <a:extLst>
            <a:ext uri="{FF2B5EF4-FFF2-40B4-BE49-F238E27FC236}">
              <a16:creationId xmlns:a16="http://schemas.microsoft.com/office/drawing/2014/main" id="{053A97F1-11DC-465D-A50E-204DA432E911}"/>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8027714" y="2970400"/>
          <a:ext cx="989529" cy="197899"/>
        </a:xfrm>
        <a:prstGeom prst="rect">
          <a:avLst/>
        </a:prstGeom>
      </xdr:spPr>
    </xdr:pic>
    <xdr:clientData/>
  </xdr:twoCellAnchor>
  <xdr:twoCellAnchor editAs="oneCell">
    <xdr:from>
      <xdr:col>5</xdr:col>
      <xdr:colOff>13220</xdr:colOff>
      <xdr:row>8</xdr:row>
      <xdr:rowOff>186719</xdr:rowOff>
    </xdr:from>
    <xdr:to>
      <xdr:col>6</xdr:col>
      <xdr:colOff>21107</xdr:colOff>
      <xdr:row>10</xdr:row>
      <xdr:rowOff>5205</xdr:rowOff>
    </xdr:to>
    <xdr:pic>
      <xdr:nvPicPr>
        <xdr:cNvPr id="45" name="Imagen 44">
          <a:extLst>
            <a:ext uri="{FF2B5EF4-FFF2-40B4-BE49-F238E27FC236}">
              <a16:creationId xmlns:a16="http://schemas.microsoft.com/office/drawing/2014/main" id="{713128FE-528E-4F92-BC2A-37E5DFDB396B}"/>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8033270" y="3158519"/>
          <a:ext cx="988962" cy="199486"/>
        </a:xfrm>
        <a:prstGeom prst="rect">
          <a:avLst/>
        </a:prstGeom>
      </xdr:spPr>
    </xdr:pic>
    <xdr:clientData/>
  </xdr:twoCellAnchor>
  <xdr:twoCellAnchor editAs="oneCell">
    <xdr:from>
      <xdr:col>5</xdr:col>
      <xdr:colOff>235952</xdr:colOff>
      <xdr:row>11</xdr:row>
      <xdr:rowOff>97168</xdr:rowOff>
    </xdr:from>
    <xdr:to>
      <xdr:col>5</xdr:col>
      <xdr:colOff>817114</xdr:colOff>
      <xdr:row>11</xdr:row>
      <xdr:rowOff>289718</xdr:rowOff>
    </xdr:to>
    <xdr:pic>
      <xdr:nvPicPr>
        <xdr:cNvPr id="46" name="Imagen 45">
          <a:extLst>
            <a:ext uri="{FF2B5EF4-FFF2-40B4-BE49-F238E27FC236}">
              <a16:creationId xmlns:a16="http://schemas.microsoft.com/office/drawing/2014/main" id="{4F7C56D5-D74B-470F-927E-DD1E808AFD04}"/>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8256002" y="3640468"/>
          <a:ext cx="581162" cy="192550"/>
        </a:xfrm>
        <a:prstGeom prst="rect">
          <a:avLst/>
        </a:prstGeom>
      </xdr:spPr>
    </xdr:pic>
    <xdr:clientData/>
  </xdr:twoCellAnchor>
  <xdr:twoCellAnchor editAs="oneCell">
    <xdr:from>
      <xdr:col>5</xdr:col>
      <xdr:colOff>177060</xdr:colOff>
      <xdr:row>12</xdr:row>
      <xdr:rowOff>346</xdr:rowOff>
    </xdr:from>
    <xdr:to>
      <xdr:col>5</xdr:col>
      <xdr:colOff>943276</xdr:colOff>
      <xdr:row>13</xdr:row>
      <xdr:rowOff>2018</xdr:rowOff>
    </xdr:to>
    <xdr:pic>
      <xdr:nvPicPr>
        <xdr:cNvPr id="47" name="Imagen 46" descr="Imagen que contiene reloj, dibujo&#10;&#10;Descripción generada automáticamente">
          <a:extLst>
            <a:ext uri="{FF2B5EF4-FFF2-40B4-BE49-F238E27FC236}">
              <a16:creationId xmlns:a16="http://schemas.microsoft.com/office/drawing/2014/main" id="{14D84C98-E177-44A3-BD40-54CBCF06077C}"/>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837473B0-CC2E-450A-ABE3-18F120FF3D39}">
              <a1611:picAttrSrcUrl xmlns:a1611="http://schemas.microsoft.com/office/drawing/2016/11/main" r:id="rId23"/>
            </a:ext>
          </a:extLst>
        </a:blip>
        <a:stretch>
          <a:fillRect/>
        </a:stretch>
      </xdr:blipFill>
      <xdr:spPr>
        <a:xfrm>
          <a:off x="8197110" y="3924646"/>
          <a:ext cx="766216" cy="192172"/>
        </a:xfrm>
        <a:prstGeom prst="rect">
          <a:avLst/>
        </a:prstGeom>
      </xdr:spPr>
    </xdr:pic>
    <xdr:clientData/>
  </xdr:twoCellAnchor>
  <xdr:twoCellAnchor editAs="oneCell">
    <xdr:from>
      <xdr:col>3</xdr:col>
      <xdr:colOff>256570</xdr:colOff>
      <xdr:row>13</xdr:row>
      <xdr:rowOff>17205</xdr:rowOff>
    </xdr:from>
    <xdr:to>
      <xdr:col>3</xdr:col>
      <xdr:colOff>834837</xdr:colOff>
      <xdr:row>13</xdr:row>
      <xdr:rowOff>177754</xdr:rowOff>
    </xdr:to>
    <xdr:pic>
      <xdr:nvPicPr>
        <xdr:cNvPr id="48" name="Imagen 47">
          <a:extLst>
            <a:ext uri="{FF2B5EF4-FFF2-40B4-BE49-F238E27FC236}">
              <a16:creationId xmlns:a16="http://schemas.microsoft.com/office/drawing/2014/main" id="{54CA4DD4-69FE-4467-B60E-DAAC83C15F39}"/>
            </a:ext>
          </a:extLst>
        </xdr:cNvPr>
        <xdr:cNvPicPr>
          <a:picLocks noChangeAspect="1"/>
        </xdr:cNvPicPr>
      </xdr:nvPicPr>
      <xdr:blipFill>
        <a:blip xmlns:r="http://schemas.openxmlformats.org/officeDocument/2006/relationships" r:embed="rId42">
          <a:extLst>
            <a:ext uri="{BEBA8EAE-BF5A-486C-A8C5-ECC9F3942E4B}">
              <a14:imgProps xmlns:a14="http://schemas.microsoft.com/office/drawing/2010/main">
                <a14:imgLayer r:embed="rId43">
                  <a14:imgEffect>
                    <a14:sharpenSoften amount="50000"/>
                  </a14:imgEffect>
                  <a14:imgEffect>
                    <a14:brightnessContrast bright="40000" contrast="-40000"/>
                  </a14:imgEffect>
                </a14:imgLayer>
              </a14:imgProps>
            </a:ext>
          </a:extLst>
        </a:blip>
        <a:stretch>
          <a:fillRect/>
        </a:stretch>
      </xdr:blipFill>
      <xdr:spPr>
        <a:xfrm>
          <a:off x="6638320" y="4132005"/>
          <a:ext cx="578267" cy="160549"/>
        </a:xfrm>
        <a:prstGeom prst="rect">
          <a:avLst/>
        </a:prstGeom>
      </xdr:spPr>
    </xdr:pic>
    <xdr:clientData/>
  </xdr:twoCellAnchor>
  <xdr:twoCellAnchor editAs="oneCell">
    <xdr:from>
      <xdr:col>5</xdr:col>
      <xdr:colOff>6605</xdr:colOff>
      <xdr:row>13</xdr:row>
      <xdr:rowOff>189365</xdr:rowOff>
    </xdr:from>
    <xdr:to>
      <xdr:col>6</xdr:col>
      <xdr:colOff>15059</xdr:colOff>
      <xdr:row>15</xdr:row>
      <xdr:rowOff>7851</xdr:rowOff>
    </xdr:to>
    <xdr:pic>
      <xdr:nvPicPr>
        <xdr:cNvPr id="49" name="Imagen 48">
          <a:extLst>
            <a:ext uri="{FF2B5EF4-FFF2-40B4-BE49-F238E27FC236}">
              <a16:creationId xmlns:a16="http://schemas.microsoft.com/office/drawing/2014/main" id="{3A010490-417C-43A4-942A-577B1147CFEA}"/>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8026655" y="4304165"/>
          <a:ext cx="989529" cy="199486"/>
        </a:xfrm>
        <a:prstGeom prst="rect">
          <a:avLst/>
        </a:prstGeom>
      </xdr:spPr>
    </xdr:pic>
    <xdr:clientData/>
  </xdr:twoCellAnchor>
  <xdr:twoCellAnchor editAs="oneCell">
    <xdr:from>
      <xdr:col>5</xdr:col>
      <xdr:colOff>254001</xdr:colOff>
      <xdr:row>15</xdr:row>
      <xdr:rowOff>127001</xdr:rowOff>
    </xdr:from>
    <xdr:to>
      <xdr:col>6</xdr:col>
      <xdr:colOff>31699</xdr:colOff>
      <xdr:row>17</xdr:row>
      <xdr:rowOff>64898</xdr:rowOff>
    </xdr:to>
    <xdr:pic>
      <xdr:nvPicPr>
        <xdr:cNvPr id="50" name="Imagen 49">
          <a:extLst>
            <a:ext uri="{FF2B5EF4-FFF2-40B4-BE49-F238E27FC236}">
              <a16:creationId xmlns:a16="http://schemas.microsoft.com/office/drawing/2014/main" id="{AFCF1C87-58CC-4435-975B-9F8A4F9FF891}"/>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8274051" y="4622801"/>
          <a:ext cx="758773" cy="318897"/>
        </a:xfrm>
        <a:prstGeom prst="rect">
          <a:avLst/>
        </a:prstGeom>
      </xdr:spPr>
    </xdr:pic>
    <xdr:clientData/>
  </xdr:twoCellAnchor>
  <xdr:twoCellAnchor editAs="oneCell">
    <xdr:from>
      <xdr:col>5</xdr:col>
      <xdr:colOff>33771</xdr:colOff>
      <xdr:row>18</xdr:row>
      <xdr:rowOff>135284</xdr:rowOff>
    </xdr:from>
    <xdr:to>
      <xdr:col>5</xdr:col>
      <xdr:colOff>915010</xdr:colOff>
      <xdr:row>18</xdr:row>
      <xdr:rowOff>247331</xdr:rowOff>
    </xdr:to>
    <xdr:pic>
      <xdr:nvPicPr>
        <xdr:cNvPr id="51" name="Imagen 50">
          <a:extLst>
            <a:ext uri="{FF2B5EF4-FFF2-40B4-BE49-F238E27FC236}">
              <a16:creationId xmlns:a16="http://schemas.microsoft.com/office/drawing/2014/main" id="{503A9631-F2B7-4744-ABBC-B9F7B26BDD7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053821" y="5516909"/>
          <a:ext cx="881239" cy="112047"/>
        </a:xfrm>
        <a:prstGeom prst="rect">
          <a:avLst/>
        </a:prstGeom>
      </xdr:spPr>
    </xdr:pic>
    <xdr:clientData/>
  </xdr:twoCellAnchor>
  <xdr:twoCellAnchor editAs="oneCell">
    <xdr:from>
      <xdr:col>5</xdr:col>
      <xdr:colOff>85725</xdr:colOff>
      <xdr:row>23</xdr:row>
      <xdr:rowOff>19051</xdr:rowOff>
    </xdr:from>
    <xdr:to>
      <xdr:col>5</xdr:col>
      <xdr:colOff>887446</xdr:colOff>
      <xdr:row>24</xdr:row>
      <xdr:rowOff>19051</xdr:rowOff>
    </xdr:to>
    <xdr:pic>
      <xdr:nvPicPr>
        <xdr:cNvPr id="52" name="Imagen 51">
          <a:extLst>
            <a:ext uri="{FF2B5EF4-FFF2-40B4-BE49-F238E27FC236}">
              <a16:creationId xmlns:a16="http://schemas.microsoft.com/office/drawing/2014/main" id="{F01EE2F0-CC37-4BB7-97B6-FADBEAF8C7A2}"/>
            </a:ext>
          </a:extLst>
        </xdr:cNvPr>
        <xdr:cNvPicPr>
          <a:picLocks noChangeAspect="1"/>
        </xdr:cNvPicPr>
      </xdr:nvPicPr>
      <xdr:blipFill>
        <a:blip xmlns:r="http://schemas.openxmlformats.org/officeDocument/2006/relationships" r:embed="rId45">
          <a:clrChange>
            <a:clrFrom>
              <a:srgbClr val="E6E6E6"/>
            </a:clrFrom>
            <a:clrTo>
              <a:srgbClr val="E6E6E6">
                <a:alpha val="0"/>
              </a:srgbClr>
            </a:clrTo>
          </a:clrChange>
        </a:blip>
        <a:stretch>
          <a:fillRect/>
        </a:stretch>
      </xdr:blipFill>
      <xdr:spPr>
        <a:xfrm>
          <a:off x="8105775" y="7077076"/>
          <a:ext cx="801721" cy="190500"/>
        </a:xfrm>
        <a:prstGeom prst="rect">
          <a:avLst/>
        </a:prstGeom>
      </xdr:spPr>
    </xdr:pic>
    <xdr:clientData/>
  </xdr:twoCellAnchor>
  <xdr:twoCellAnchor editAs="oneCell">
    <xdr:from>
      <xdr:col>5</xdr:col>
      <xdr:colOff>173703</xdr:colOff>
      <xdr:row>15</xdr:row>
      <xdr:rowOff>11753</xdr:rowOff>
    </xdr:from>
    <xdr:to>
      <xdr:col>5</xdr:col>
      <xdr:colOff>887019</xdr:colOff>
      <xdr:row>16</xdr:row>
      <xdr:rowOff>29073</xdr:rowOff>
    </xdr:to>
    <xdr:pic>
      <xdr:nvPicPr>
        <xdr:cNvPr id="53" name="Imagen 52">
          <a:extLst>
            <a:ext uri="{FF2B5EF4-FFF2-40B4-BE49-F238E27FC236}">
              <a16:creationId xmlns:a16="http://schemas.microsoft.com/office/drawing/2014/main" id="{CD266E96-EF2B-4A9A-9190-ADBFD52BB8D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193753" y="4507553"/>
          <a:ext cx="713316" cy="207820"/>
        </a:xfrm>
        <a:prstGeom prst="rect">
          <a:avLst/>
        </a:prstGeom>
      </xdr:spPr>
    </xdr:pic>
    <xdr:clientData/>
  </xdr:twoCellAnchor>
  <xdr:twoCellAnchor editAs="oneCell">
    <xdr:from>
      <xdr:col>5</xdr:col>
      <xdr:colOff>309562</xdr:colOff>
      <xdr:row>17</xdr:row>
      <xdr:rowOff>99194</xdr:rowOff>
    </xdr:from>
    <xdr:to>
      <xdr:col>5</xdr:col>
      <xdr:colOff>711787</xdr:colOff>
      <xdr:row>17</xdr:row>
      <xdr:rowOff>234639</xdr:rowOff>
    </xdr:to>
    <xdr:pic>
      <xdr:nvPicPr>
        <xdr:cNvPr id="54" name="Gráfico 53">
          <a:extLst>
            <a:ext uri="{FF2B5EF4-FFF2-40B4-BE49-F238E27FC236}">
              <a16:creationId xmlns:a16="http://schemas.microsoft.com/office/drawing/2014/main" id="{8E9351C6-0E78-49C5-826D-0E214263D530}"/>
            </a:ext>
          </a:extLst>
        </xdr:cNvPr>
        <xdr:cNvPicPr>
          <a:picLocks noChangeAspect="1"/>
        </xdr:cNvPicPr>
      </xdr:nvPicPr>
      <xdr:blipFill>
        <a:blip xmlns:r="http://schemas.openxmlformats.org/officeDocument/2006/relationships" r:embed="rId46">
          <a:extLst>
            <a:ext uri="{96DAC541-7B7A-43D3-8B79-37D633B846F1}">
              <asvg:svgBlip xmlns:asvg="http://schemas.microsoft.com/office/drawing/2016/SVG/main" r:embed="rId47"/>
            </a:ext>
          </a:extLst>
        </a:blip>
        <a:stretch>
          <a:fillRect/>
        </a:stretch>
      </xdr:blipFill>
      <xdr:spPr>
        <a:xfrm>
          <a:off x="8329612" y="4975994"/>
          <a:ext cx="402225" cy="135445"/>
        </a:xfrm>
        <a:prstGeom prst="rect">
          <a:avLst/>
        </a:prstGeom>
      </xdr:spPr>
    </xdr:pic>
    <xdr:clientData/>
  </xdr:twoCellAnchor>
  <xdr:twoCellAnchor editAs="oneCell">
    <xdr:from>
      <xdr:col>5</xdr:col>
      <xdr:colOff>225591</xdr:colOff>
      <xdr:row>17</xdr:row>
      <xdr:rowOff>355730</xdr:rowOff>
    </xdr:from>
    <xdr:to>
      <xdr:col>5</xdr:col>
      <xdr:colOff>522540</xdr:colOff>
      <xdr:row>17</xdr:row>
      <xdr:rowOff>454161</xdr:rowOff>
    </xdr:to>
    <xdr:pic>
      <xdr:nvPicPr>
        <xdr:cNvPr id="55" name="Imagen 54">
          <a:extLst>
            <a:ext uri="{FF2B5EF4-FFF2-40B4-BE49-F238E27FC236}">
              <a16:creationId xmlns:a16="http://schemas.microsoft.com/office/drawing/2014/main" id="{A5CDA838-056F-4C93-8854-DFEC34F1F96A}"/>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8245641" y="5232530"/>
          <a:ext cx="296949" cy="98431"/>
        </a:xfrm>
        <a:prstGeom prst="rect">
          <a:avLst/>
        </a:prstGeom>
      </xdr:spPr>
    </xdr:pic>
    <xdr:clientData/>
  </xdr:twoCellAnchor>
  <xdr:twoCellAnchor editAs="oneCell">
    <xdr:from>
      <xdr:col>5</xdr:col>
      <xdr:colOff>576201</xdr:colOff>
      <xdr:row>17</xdr:row>
      <xdr:rowOff>288683</xdr:rowOff>
    </xdr:from>
    <xdr:to>
      <xdr:col>5</xdr:col>
      <xdr:colOff>745855</xdr:colOff>
      <xdr:row>17</xdr:row>
      <xdr:rowOff>484195</xdr:rowOff>
    </xdr:to>
    <xdr:pic>
      <xdr:nvPicPr>
        <xdr:cNvPr id="56" name="Imagen 55">
          <a:extLst>
            <a:ext uri="{FF2B5EF4-FFF2-40B4-BE49-F238E27FC236}">
              <a16:creationId xmlns:a16="http://schemas.microsoft.com/office/drawing/2014/main" id="{A33F7164-FF11-455E-B7BB-39879AF245D5}"/>
            </a:ext>
          </a:extLst>
        </xdr:cNvPr>
        <xdr:cNvPicPr>
          <a:picLocks noChangeAspect="1"/>
        </xdr:cNvPicPr>
      </xdr:nvPicPr>
      <xdr:blipFill rotWithShape="1">
        <a:blip xmlns:r="http://schemas.openxmlformats.org/officeDocument/2006/relationships" r:embed="rId49" cstate="print">
          <a:clrChange>
            <a:clrFrom>
              <a:srgbClr val="F7F8F8"/>
            </a:clrFrom>
            <a:clrTo>
              <a:srgbClr val="F7F8F8">
                <a:alpha val="0"/>
              </a:srgbClr>
            </a:clrTo>
          </a:clrChange>
          <a:extLst>
            <a:ext uri="{28A0092B-C50C-407E-A947-70E740481C1C}">
              <a14:useLocalDpi xmlns:a14="http://schemas.microsoft.com/office/drawing/2010/main" val="0"/>
            </a:ext>
          </a:extLst>
        </a:blip>
        <a:srcRect l="33065" t="15103" r="32534" b="20760"/>
        <a:stretch/>
      </xdr:blipFill>
      <xdr:spPr>
        <a:xfrm>
          <a:off x="8596251" y="5165483"/>
          <a:ext cx="169654" cy="195512"/>
        </a:xfrm>
        <a:prstGeom prst="rect">
          <a:avLst/>
        </a:prstGeom>
      </xdr:spPr>
    </xdr:pic>
    <xdr:clientData/>
  </xdr:twoCellAnchor>
  <xdr:twoCellAnchor editAs="oneCell">
    <xdr:from>
      <xdr:col>2</xdr:col>
      <xdr:colOff>0</xdr:colOff>
      <xdr:row>24</xdr:row>
      <xdr:rowOff>0</xdr:rowOff>
    </xdr:from>
    <xdr:to>
      <xdr:col>2</xdr:col>
      <xdr:colOff>986932</xdr:colOff>
      <xdr:row>25</xdr:row>
      <xdr:rowOff>8986</xdr:rowOff>
    </xdr:to>
    <xdr:pic>
      <xdr:nvPicPr>
        <xdr:cNvPr id="57" name="Imagen 56">
          <a:extLst>
            <a:ext uri="{FF2B5EF4-FFF2-40B4-BE49-F238E27FC236}">
              <a16:creationId xmlns:a16="http://schemas.microsoft.com/office/drawing/2014/main" id="{690643B8-D840-4B8E-A40D-58263DC6F063}"/>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5334000" y="7248525"/>
          <a:ext cx="986932" cy="199486"/>
        </a:xfrm>
        <a:prstGeom prst="rect">
          <a:avLst/>
        </a:prstGeom>
      </xdr:spPr>
    </xdr:pic>
    <xdr:clientData/>
  </xdr:twoCellAnchor>
  <xdr:twoCellAnchor editAs="oneCell">
    <xdr:from>
      <xdr:col>5</xdr:col>
      <xdr:colOff>49966</xdr:colOff>
      <xdr:row>5</xdr:row>
      <xdr:rowOff>13355</xdr:rowOff>
    </xdr:from>
    <xdr:to>
      <xdr:col>5</xdr:col>
      <xdr:colOff>935691</xdr:colOff>
      <xdr:row>5</xdr:row>
      <xdr:rowOff>190041</xdr:rowOff>
    </xdr:to>
    <xdr:pic>
      <xdr:nvPicPr>
        <xdr:cNvPr id="60" name="Imagen 59">
          <a:extLst>
            <a:ext uri="{FF2B5EF4-FFF2-40B4-BE49-F238E27FC236}">
              <a16:creationId xmlns:a16="http://schemas.microsoft.com/office/drawing/2014/main" id="{91655BFB-B848-4C8E-9D33-DDAD140357D1}"/>
            </a:ext>
          </a:extLst>
        </xdr:cNvPr>
        <xdr:cNvPicPr>
          <a:picLocks noChangeAspect="1"/>
        </xdr:cNvPicPr>
      </xdr:nvPicPr>
      <xdr:blipFill>
        <a:blip xmlns:r="http://schemas.openxmlformats.org/officeDocument/2006/relationships" r:embed="rId50"/>
        <a:stretch>
          <a:fillRect/>
        </a:stretch>
      </xdr:blipFill>
      <xdr:spPr>
        <a:xfrm>
          <a:off x="8070016" y="2232680"/>
          <a:ext cx="885725" cy="176686"/>
        </a:xfrm>
        <a:prstGeom prst="rect">
          <a:avLst/>
        </a:prstGeom>
      </xdr:spPr>
    </xdr:pic>
    <xdr:clientData/>
  </xdr:twoCellAnchor>
  <xdr:twoCellAnchor editAs="oneCell">
    <xdr:from>
      <xdr:col>4</xdr:col>
      <xdr:colOff>196103</xdr:colOff>
      <xdr:row>5</xdr:row>
      <xdr:rowOff>1</xdr:rowOff>
    </xdr:from>
    <xdr:to>
      <xdr:col>4</xdr:col>
      <xdr:colOff>403412</xdr:colOff>
      <xdr:row>6</xdr:row>
      <xdr:rowOff>16810</xdr:rowOff>
    </xdr:to>
    <xdr:pic>
      <xdr:nvPicPr>
        <xdr:cNvPr id="61" name="Imagen 60">
          <a:extLst>
            <a:ext uri="{FF2B5EF4-FFF2-40B4-BE49-F238E27FC236}">
              <a16:creationId xmlns:a16="http://schemas.microsoft.com/office/drawing/2014/main" id="{14C8818E-7EC7-478C-B841-231D76DB8291}"/>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7625603" y="2219326"/>
          <a:ext cx="207309" cy="207309"/>
        </a:xfrm>
        <a:prstGeom prst="rect">
          <a:avLst/>
        </a:prstGeom>
      </xdr:spPr>
    </xdr:pic>
    <xdr:clientData/>
  </xdr:twoCellAnchor>
  <xdr:twoCellAnchor editAs="oneCell">
    <xdr:from>
      <xdr:col>4</xdr:col>
      <xdr:colOff>128869</xdr:colOff>
      <xdr:row>7</xdr:row>
      <xdr:rowOff>112058</xdr:rowOff>
    </xdr:from>
    <xdr:to>
      <xdr:col>4</xdr:col>
      <xdr:colOff>465045</xdr:colOff>
      <xdr:row>9</xdr:row>
      <xdr:rowOff>78440</xdr:rowOff>
    </xdr:to>
    <xdr:pic>
      <xdr:nvPicPr>
        <xdr:cNvPr id="62" name="Imagen 61">
          <a:extLst>
            <a:ext uri="{FF2B5EF4-FFF2-40B4-BE49-F238E27FC236}">
              <a16:creationId xmlns:a16="http://schemas.microsoft.com/office/drawing/2014/main" id="{7C28D24D-A913-44DA-BB50-AF60EA03D740}"/>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7558369" y="2902883"/>
          <a:ext cx="336176" cy="337857"/>
        </a:xfrm>
        <a:prstGeom prst="rect">
          <a:avLst/>
        </a:prstGeom>
      </xdr:spPr>
    </xdr:pic>
    <xdr:clientData/>
  </xdr:twoCellAnchor>
  <xdr:twoCellAnchor editAs="oneCell">
    <xdr:from>
      <xdr:col>4</xdr:col>
      <xdr:colOff>234537</xdr:colOff>
      <xdr:row>6</xdr:row>
      <xdr:rowOff>11563</xdr:rowOff>
    </xdr:from>
    <xdr:to>
      <xdr:col>4</xdr:col>
      <xdr:colOff>570358</xdr:colOff>
      <xdr:row>6</xdr:row>
      <xdr:rowOff>347384</xdr:rowOff>
    </xdr:to>
    <xdr:pic>
      <xdr:nvPicPr>
        <xdr:cNvPr id="63" name="Imagen 62">
          <a:extLst>
            <a:ext uri="{FF2B5EF4-FFF2-40B4-BE49-F238E27FC236}">
              <a16:creationId xmlns:a16="http://schemas.microsoft.com/office/drawing/2014/main" id="{8AA33001-90F7-49B4-B6E9-C4F447F6455B}"/>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7664037" y="2421388"/>
          <a:ext cx="335821" cy="335821"/>
        </a:xfrm>
        <a:prstGeom prst="rect">
          <a:avLst/>
        </a:prstGeom>
      </xdr:spPr>
    </xdr:pic>
    <xdr:clientData/>
  </xdr:twoCellAnchor>
  <xdr:twoCellAnchor editAs="oneCell">
    <xdr:from>
      <xdr:col>4</xdr:col>
      <xdr:colOff>16809</xdr:colOff>
      <xdr:row>6</xdr:row>
      <xdr:rowOff>5605</xdr:rowOff>
    </xdr:from>
    <xdr:to>
      <xdr:col>4</xdr:col>
      <xdr:colOff>356262</xdr:colOff>
      <xdr:row>6</xdr:row>
      <xdr:rowOff>345058</xdr:rowOff>
    </xdr:to>
    <xdr:pic>
      <xdr:nvPicPr>
        <xdr:cNvPr id="64" name="Imagen 63">
          <a:extLst>
            <a:ext uri="{FF2B5EF4-FFF2-40B4-BE49-F238E27FC236}">
              <a16:creationId xmlns:a16="http://schemas.microsoft.com/office/drawing/2014/main" id="{B098718A-3B51-44D0-A5BE-5A9AEDE07218}"/>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7446309" y="2415430"/>
          <a:ext cx="339453" cy="339453"/>
        </a:xfrm>
        <a:prstGeom prst="rect">
          <a:avLst/>
        </a:prstGeom>
      </xdr:spPr>
    </xdr:pic>
    <xdr:clientData/>
  </xdr:twoCellAnchor>
  <xdr:twoCellAnchor editAs="oneCell">
    <xdr:from>
      <xdr:col>4</xdr:col>
      <xdr:colOff>207307</xdr:colOff>
      <xdr:row>7</xdr:row>
      <xdr:rowOff>0</xdr:rowOff>
    </xdr:from>
    <xdr:to>
      <xdr:col>4</xdr:col>
      <xdr:colOff>392205</xdr:colOff>
      <xdr:row>8</xdr:row>
      <xdr:rowOff>5604</xdr:rowOff>
    </xdr:to>
    <xdr:pic>
      <xdr:nvPicPr>
        <xdr:cNvPr id="65" name="Picture 26">
          <a:extLst>
            <a:ext uri="{FF2B5EF4-FFF2-40B4-BE49-F238E27FC236}">
              <a16:creationId xmlns:a16="http://schemas.microsoft.com/office/drawing/2014/main" id="{9830B6AB-DD48-4D9B-A82C-EAA28E2F1F09}"/>
            </a:ext>
          </a:extLst>
        </xdr:cNvPr>
        <xdr:cNvPicPr>
          <a:picLocks noChangeAspect="1" noChangeArrowheads="1"/>
        </xdr:cNvPicPr>
      </xdr:nvPicPr>
      <xdr:blipFill>
        <a:blip xmlns:r="http://schemas.openxmlformats.org/officeDocument/2006/relationships" r:embed="rId55" cstate="print">
          <a:extLst>
            <a:ext uri="{28A0092B-C50C-407E-A947-70E740481C1C}">
              <a14:useLocalDpi xmlns:a14="http://schemas.microsoft.com/office/drawing/2010/main" val="0"/>
            </a:ext>
          </a:extLst>
        </a:blip>
        <a:srcRect/>
        <a:stretch>
          <a:fillRect/>
        </a:stretch>
      </xdr:blipFill>
      <xdr:spPr bwMode="auto">
        <a:xfrm>
          <a:off x="7636807" y="2790825"/>
          <a:ext cx="184898" cy="1865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134472</xdr:colOff>
      <xdr:row>8</xdr:row>
      <xdr:rowOff>117661</xdr:rowOff>
    </xdr:from>
    <xdr:to>
      <xdr:col>4</xdr:col>
      <xdr:colOff>470647</xdr:colOff>
      <xdr:row>10</xdr:row>
      <xdr:rowOff>72836</xdr:rowOff>
    </xdr:to>
    <xdr:pic>
      <xdr:nvPicPr>
        <xdr:cNvPr id="66" name="Imagen 65">
          <a:extLst>
            <a:ext uri="{FF2B5EF4-FFF2-40B4-BE49-F238E27FC236}">
              <a16:creationId xmlns:a16="http://schemas.microsoft.com/office/drawing/2014/main" id="{F1011071-7B98-4FD1-B302-9E0D8D156F47}"/>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7563972" y="3089461"/>
          <a:ext cx="336175" cy="336175"/>
        </a:xfrm>
        <a:prstGeom prst="rect">
          <a:avLst/>
        </a:prstGeom>
      </xdr:spPr>
    </xdr:pic>
    <xdr:clientData/>
  </xdr:twoCellAnchor>
  <xdr:twoCellAnchor editAs="oneCell">
    <xdr:from>
      <xdr:col>4</xdr:col>
      <xdr:colOff>212913</xdr:colOff>
      <xdr:row>9</xdr:row>
      <xdr:rowOff>184897</xdr:rowOff>
    </xdr:from>
    <xdr:to>
      <xdr:col>4</xdr:col>
      <xdr:colOff>414619</xdr:colOff>
      <xdr:row>11</xdr:row>
      <xdr:rowOff>5603</xdr:rowOff>
    </xdr:to>
    <xdr:pic>
      <xdr:nvPicPr>
        <xdr:cNvPr id="67" name="Picture 22" descr="Oracle Certified Foundations Associate, Java - Credly">
          <a:extLst>
            <a:ext uri="{FF2B5EF4-FFF2-40B4-BE49-F238E27FC236}">
              <a16:creationId xmlns:a16="http://schemas.microsoft.com/office/drawing/2014/main" id="{67C08C6E-10BA-4E5B-B72F-716AB6F585CE}"/>
            </a:ext>
          </a:extLst>
        </xdr:cNvPr>
        <xdr:cNvPicPr>
          <a:picLocks noChangeAspect="1" noChangeArrowheads="1"/>
        </xdr:cNvPicPr>
      </xdr:nvPicPr>
      <xdr:blipFill>
        <a:blip xmlns:r="http://schemas.openxmlformats.org/officeDocument/2006/relationships" r:embed="rId57" cstate="print">
          <a:extLst>
            <a:ext uri="{28A0092B-C50C-407E-A947-70E740481C1C}">
              <a14:useLocalDpi xmlns:a14="http://schemas.microsoft.com/office/drawing/2010/main" val="0"/>
            </a:ext>
          </a:extLst>
        </a:blip>
        <a:srcRect/>
        <a:stretch>
          <a:fillRect/>
        </a:stretch>
      </xdr:blipFill>
      <xdr:spPr bwMode="auto">
        <a:xfrm>
          <a:off x="7642413" y="3347197"/>
          <a:ext cx="201706" cy="201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201706</xdr:colOff>
      <xdr:row>11</xdr:row>
      <xdr:rowOff>67235</xdr:rowOff>
    </xdr:from>
    <xdr:to>
      <xdr:col>4</xdr:col>
      <xdr:colOff>422783</xdr:colOff>
      <xdr:row>11</xdr:row>
      <xdr:rowOff>288312</xdr:rowOff>
    </xdr:to>
    <xdr:pic>
      <xdr:nvPicPr>
        <xdr:cNvPr id="68" name="Picture 2">
          <a:extLst>
            <a:ext uri="{FF2B5EF4-FFF2-40B4-BE49-F238E27FC236}">
              <a16:creationId xmlns:a16="http://schemas.microsoft.com/office/drawing/2014/main" id="{9D54C87A-6387-44C0-9535-E74270C47B1C}"/>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7631206" y="3610535"/>
          <a:ext cx="221077" cy="221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224118</xdr:colOff>
      <xdr:row>12</xdr:row>
      <xdr:rowOff>16808</xdr:rowOff>
    </xdr:from>
    <xdr:to>
      <xdr:col>4</xdr:col>
      <xdr:colOff>386604</xdr:colOff>
      <xdr:row>12</xdr:row>
      <xdr:rowOff>179294</xdr:rowOff>
    </xdr:to>
    <xdr:pic>
      <xdr:nvPicPr>
        <xdr:cNvPr id="69" name="Picture 16">
          <a:extLst>
            <a:ext uri="{FF2B5EF4-FFF2-40B4-BE49-F238E27FC236}">
              <a16:creationId xmlns:a16="http://schemas.microsoft.com/office/drawing/2014/main" id="{ECDD8097-40EC-4832-975D-BF0B534B2F17}"/>
            </a:ext>
          </a:extLst>
        </xdr:cNvPr>
        <xdr:cNvPicPr>
          <a:picLocks noChangeAspect="1" noChangeArrowheads="1"/>
        </xdr:cNvPicPr>
      </xdr:nvPicPr>
      <xdr:blipFill>
        <a:blip xmlns:r="http://schemas.openxmlformats.org/officeDocument/2006/relationships" r:embed="rId59" cstate="print">
          <a:extLst>
            <a:ext uri="{28A0092B-C50C-407E-A947-70E740481C1C}">
              <a14:useLocalDpi xmlns:a14="http://schemas.microsoft.com/office/drawing/2010/main" val="0"/>
            </a:ext>
          </a:extLst>
        </a:blip>
        <a:srcRect/>
        <a:stretch>
          <a:fillRect/>
        </a:stretch>
      </xdr:blipFill>
      <xdr:spPr bwMode="auto">
        <a:xfrm>
          <a:off x="7653618" y="3941108"/>
          <a:ext cx="162486" cy="1624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106458</xdr:colOff>
      <xdr:row>12</xdr:row>
      <xdr:rowOff>179295</xdr:rowOff>
    </xdr:from>
    <xdr:to>
      <xdr:col>4</xdr:col>
      <xdr:colOff>509868</xdr:colOff>
      <xdr:row>14</xdr:row>
      <xdr:rowOff>0</xdr:rowOff>
    </xdr:to>
    <xdr:pic>
      <xdr:nvPicPr>
        <xdr:cNvPr id="70" name="Picture 18" descr="Oracle APEX Cloud Developer Certified Professional">
          <a:extLst>
            <a:ext uri="{FF2B5EF4-FFF2-40B4-BE49-F238E27FC236}">
              <a16:creationId xmlns:a16="http://schemas.microsoft.com/office/drawing/2014/main" id="{F072A957-09AE-4E8A-B3D5-F404138282C8}"/>
            </a:ext>
          </a:extLst>
        </xdr:cNvPr>
        <xdr:cNvPicPr>
          <a:picLocks noChangeAspect="1" noChangeArrowheads="1"/>
        </xdr:cNvPicPr>
      </xdr:nvPicPr>
      <xdr:blipFill>
        <a:blip xmlns:r="http://schemas.openxmlformats.org/officeDocument/2006/relationships" r:embed="rId60" cstate="print">
          <a:extLst>
            <a:ext uri="{28A0092B-C50C-407E-A947-70E740481C1C}">
              <a14:useLocalDpi xmlns:a14="http://schemas.microsoft.com/office/drawing/2010/main" val="0"/>
            </a:ext>
          </a:extLst>
        </a:blip>
        <a:srcRect/>
        <a:stretch>
          <a:fillRect/>
        </a:stretch>
      </xdr:blipFill>
      <xdr:spPr bwMode="auto">
        <a:xfrm>
          <a:off x="7535958" y="4103595"/>
          <a:ext cx="403410" cy="201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149273</xdr:colOff>
      <xdr:row>13</xdr:row>
      <xdr:rowOff>123264</xdr:rowOff>
    </xdr:from>
    <xdr:to>
      <xdr:col>4</xdr:col>
      <xdr:colOff>479847</xdr:colOff>
      <xdr:row>15</xdr:row>
      <xdr:rowOff>72838</xdr:rowOff>
    </xdr:to>
    <xdr:pic>
      <xdr:nvPicPr>
        <xdr:cNvPr id="71" name="Imagen 70">
          <a:extLst>
            <a:ext uri="{FF2B5EF4-FFF2-40B4-BE49-F238E27FC236}">
              <a16:creationId xmlns:a16="http://schemas.microsoft.com/office/drawing/2014/main" id="{32398492-6A8C-4A2B-B9FC-DDC605BCC0C8}"/>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7578773" y="4238064"/>
          <a:ext cx="330574" cy="330574"/>
        </a:xfrm>
        <a:prstGeom prst="rect">
          <a:avLst/>
        </a:prstGeom>
      </xdr:spPr>
    </xdr:pic>
    <xdr:clientData/>
  </xdr:twoCellAnchor>
  <xdr:twoCellAnchor editAs="oneCell">
    <xdr:from>
      <xdr:col>4</xdr:col>
      <xdr:colOff>207308</xdr:colOff>
      <xdr:row>14</xdr:row>
      <xdr:rowOff>173692</xdr:rowOff>
    </xdr:from>
    <xdr:to>
      <xdr:col>4</xdr:col>
      <xdr:colOff>431426</xdr:colOff>
      <xdr:row>16</xdr:row>
      <xdr:rowOff>16810</xdr:rowOff>
    </xdr:to>
    <xdr:pic>
      <xdr:nvPicPr>
        <xdr:cNvPr id="72" name="Imagen 71">
          <a:extLst>
            <a:ext uri="{FF2B5EF4-FFF2-40B4-BE49-F238E27FC236}">
              <a16:creationId xmlns:a16="http://schemas.microsoft.com/office/drawing/2014/main" id="{EAEAEA34-169F-4FD1-B783-2BE50D736167}"/>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7636808" y="4478992"/>
          <a:ext cx="224118" cy="224118"/>
        </a:xfrm>
        <a:prstGeom prst="rect">
          <a:avLst/>
        </a:prstGeom>
      </xdr:spPr>
    </xdr:pic>
    <xdr:clientData/>
  </xdr:twoCellAnchor>
  <xdr:twoCellAnchor editAs="oneCell">
    <xdr:from>
      <xdr:col>4</xdr:col>
      <xdr:colOff>190500</xdr:colOff>
      <xdr:row>15</xdr:row>
      <xdr:rowOff>179294</xdr:rowOff>
    </xdr:from>
    <xdr:to>
      <xdr:col>4</xdr:col>
      <xdr:colOff>425823</xdr:colOff>
      <xdr:row>17</xdr:row>
      <xdr:rowOff>33617</xdr:rowOff>
    </xdr:to>
    <xdr:pic>
      <xdr:nvPicPr>
        <xdr:cNvPr id="73" name="Picture 24">
          <a:extLst>
            <a:ext uri="{FF2B5EF4-FFF2-40B4-BE49-F238E27FC236}">
              <a16:creationId xmlns:a16="http://schemas.microsoft.com/office/drawing/2014/main" id="{E2910C7A-D379-49DD-ADED-2C40D89DEE91}"/>
            </a:ext>
          </a:extLst>
        </xdr:cNvPr>
        <xdr:cNvPicPr>
          <a:picLocks noChangeAspect="1" noChangeArrowheads="1"/>
        </xdr:cNvPicPr>
      </xdr:nvPicPr>
      <xdr:blipFill>
        <a:blip xmlns:r="http://schemas.openxmlformats.org/officeDocument/2006/relationships" r:embed="rId63" cstate="print">
          <a:extLst>
            <a:ext uri="{28A0092B-C50C-407E-A947-70E740481C1C}">
              <a14:useLocalDpi xmlns:a14="http://schemas.microsoft.com/office/drawing/2010/main" val="0"/>
            </a:ext>
          </a:extLst>
        </a:blip>
        <a:srcRect/>
        <a:stretch>
          <a:fillRect/>
        </a:stretch>
      </xdr:blipFill>
      <xdr:spPr bwMode="auto">
        <a:xfrm>
          <a:off x="7620000" y="4675094"/>
          <a:ext cx="235323" cy="2353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212912</xdr:colOff>
      <xdr:row>17</xdr:row>
      <xdr:rowOff>156882</xdr:rowOff>
    </xdr:from>
    <xdr:to>
      <xdr:col>4</xdr:col>
      <xdr:colOff>392208</xdr:colOff>
      <xdr:row>17</xdr:row>
      <xdr:rowOff>336178</xdr:rowOff>
    </xdr:to>
    <xdr:pic>
      <xdr:nvPicPr>
        <xdr:cNvPr id="74" name="Picture 6" descr="App Development with Swift Associate - Credly">
          <a:extLst>
            <a:ext uri="{FF2B5EF4-FFF2-40B4-BE49-F238E27FC236}">
              <a16:creationId xmlns:a16="http://schemas.microsoft.com/office/drawing/2014/main" id="{B3FF4B81-4267-4D7A-A70E-2617B9CDA30C}"/>
            </a:ext>
          </a:extLst>
        </xdr:cNvPr>
        <xdr:cNvPicPr>
          <a:picLocks noChangeAspect="1" noChangeArrowheads="1"/>
        </xdr:cNvPicPr>
      </xdr:nvPicPr>
      <xdr:blipFill>
        <a:blip xmlns:r="http://schemas.openxmlformats.org/officeDocument/2006/relationships" r:embed="rId64" cstate="print">
          <a:extLst>
            <a:ext uri="{28A0092B-C50C-407E-A947-70E740481C1C}">
              <a14:useLocalDpi xmlns:a14="http://schemas.microsoft.com/office/drawing/2010/main" val="0"/>
            </a:ext>
          </a:extLst>
        </a:blip>
        <a:srcRect/>
        <a:stretch>
          <a:fillRect/>
        </a:stretch>
      </xdr:blipFill>
      <xdr:spPr bwMode="auto">
        <a:xfrm>
          <a:off x="7642412" y="5033682"/>
          <a:ext cx="179296" cy="179296"/>
        </a:xfrm>
        <a:prstGeom prst="roundRect">
          <a:avLst>
            <a:gd name="adj" fmla="val 8594"/>
          </a:avLst>
        </a:prstGeom>
        <a:solidFill>
          <a:srgbClr val="FFFFFF">
            <a:shade val="85000"/>
          </a:srgbClr>
        </a:solidFill>
        <a:ln>
          <a:solidFill>
            <a:schemeClr val="accent4"/>
          </a:solidFill>
        </a:ln>
        <a:effectLst>
          <a:reflection blurRad="12700" stA="38000" endPos="28000" dist="5000" dir="5400000" sy="-100000" algn="bl" rotWithShape="0"/>
        </a:effectLst>
      </xdr:spPr>
    </xdr:pic>
    <xdr:clientData/>
  </xdr:twoCellAnchor>
  <xdr:twoCellAnchor editAs="oneCell">
    <xdr:from>
      <xdr:col>4</xdr:col>
      <xdr:colOff>84045</xdr:colOff>
      <xdr:row>18</xdr:row>
      <xdr:rowOff>100852</xdr:rowOff>
    </xdr:from>
    <xdr:to>
      <xdr:col>4</xdr:col>
      <xdr:colOff>291354</xdr:colOff>
      <xdr:row>18</xdr:row>
      <xdr:rowOff>308161</xdr:rowOff>
    </xdr:to>
    <xdr:pic>
      <xdr:nvPicPr>
        <xdr:cNvPr id="75" name="Picture 12">
          <a:extLst>
            <a:ext uri="{FF2B5EF4-FFF2-40B4-BE49-F238E27FC236}">
              <a16:creationId xmlns:a16="http://schemas.microsoft.com/office/drawing/2014/main" id="{1F459DFF-4677-41A9-A2F9-A023E0EA1640}"/>
            </a:ext>
          </a:extLst>
        </xdr:cNvPr>
        <xdr:cNvPicPr>
          <a:picLocks noChangeAspect="1" noChangeArrowheads="1"/>
        </xdr:cNvPicPr>
      </xdr:nvPicPr>
      <xdr:blipFill>
        <a:blip xmlns:r="http://schemas.openxmlformats.org/officeDocument/2006/relationships" r:embed="rId65" cstate="print">
          <a:extLst>
            <a:ext uri="{28A0092B-C50C-407E-A947-70E740481C1C}">
              <a14:useLocalDpi xmlns:a14="http://schemas.microsoft.com/office/drawing/2010/main" val="0"/>
            </a:ext>
          </a:extLst>
        </a:blip>
        <a:srcRect/>
        <a:stretch>
          <a:fillRect/>
        </a:stretch>
      </xdr:blipFill>
      <xdr:spPr bwMode="auto">
        <a:xfrm>
          <a:off x="7513545" y="5482477"/>
          <a:ext cx="207309" cy="207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296957</xdr:colOff>
      <xdr:row>18</xdr:row>
      <xdr:rowOff>95251</xdr:rowOff>
    </xdr:from>
    <xdr:to>
      <xdr:col>4</xdr:col>
      <xdr:colOff>509869</xdr:colOff>
      <xdr:row>18</xdr:row>
      <xdr:rowOff>308163</xdr:rowOff>
    </xdr:to>
    <xdr:pic>
      <xdr:nvPicPr>
        <xdr:cNvPr id="76" name="Picture 14">
          <a:extLst>
            <a:ext uri="{FF2B5EF4-FFF2-40B4-BE49-F238E27FC236}">
              <a16:creationId xmlns:a16="http://schemas.microsoft.com/office/drawing/2014/main" id="{C4D464B5-AE3D-408E-A5A5-1796934BC3BF}"/>
            </a:ext>
          </a:extLst>
        </xdr:cNvPr>
        <xdr:cNvPicPr>
          <a:picLocks noChangeAspect="1" noChangeArrowheads="1"/>
        </xdr:cNvPicPr>
      </xdr:nvPicPr>
      <xdr:blipFill>
        <a:blip xmlns:r="http://schemas.openxmlformats.org/officeDocument/2006/relationships" r:embed="rId66" cstate="print">
          <a:extLst>
            <a:ext uri="{28A0092B-C50C-407E-A947-70E740481C1C}">
              <a14:useLocalDpi xmlns:a14="http://schemas.microsoft.com/office/drawing/2010/main" val="0"/>
            </a:ext>
          </a:extLst>
        </a:blip>
        <a:srcRect/>
        <a:stretch>
          <a:fillRect/>
        </a:stretch>
      </xdr:blipFill>
      <xdr:spPr bwMode="auto">
        <a:xfrm>
          <a:off x="7726457" y="5476876"/>
          <a:ext cx="212912" cy="212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201705</xdr:colOff>
      <xdr:row>18</xdr:row>
      <xdr:rowOff>375396</xdr:rowOff>
    </xdr:from>
    <xdr:to>
      <xdr:col>4</xdr:col>
      <xdr:colOff>392206</xdr:colOff>
      <xdr:row>19</xdr:row>
      <xdr:rowOff>184897</xdr:rowOff>
    </xdr:to>
    <xdr:pic>
      <xdr:nvPicPr>
        <xdr:cNvPr id="77" name="Picture 2">
          <a:extLst>
            <a:ext uri="{FF2B5EF4-FFF2-40B4-BE49-F238E27FC236}">
              <a16:creationId xmlns:a16="http://schemas.microsoft.com/office/drawing/2014/main" id="{DEFEA66E-ACFF-407F-9DD4-84B8111EE29B}"/>
            </a:ext>
          </a:extLst>
        </xdr:cNvPr>
        <xdr:cNvPicPr>
          <a:picLocks noChangeAspect="1" noChangeArrowheads="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a:fillRect/>
        </a:stretch>
      </xdr:blipFill>
      <xdr:spPr bwMode="auto">
        <a:xfrm>
          <a:off x="7631205" y="5757021"/>
          <a:ext cx="190501" cy="190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123263</xdr:colOff>
      <xdr:row>20</xdr:row>
      <xdr:rowOff>22412</xdr:rowOff>
    </xdr:from>
    <xdr:to>
      <xdr:col>4</xdr:col>
      <xdr:colOff>476590</xdr:colOff>
      <xdr:row>20</xdr:row>
      <xdr:rowOff>375739</xdr:rowOff>
    </xdr:to>
    <xdr:pic>
      <xdr:nvPicPr>
        <xdr:cNvPr id="78" name="Imagen 77">
          <a:extLst>
            <a:ext uri="{FF2B5EF4-FFF2-40B4-BE49-F238E27FC236}">
              <a16:creationId xmlns:a16="http://schemas.microsoft.com/office/drawing/2014/main" id="{26A7322C-712B-4363-A70E-D8C2201CA3F2}"/>
            </a:ext>
          </a:extLst>
        </xdr:cNvPr>
        <xdr:cNvPicPr>
          <a:picLocks noChangeAspect="1"/>
        </xdr:cNvPicPr>
      </xdr:nvPicPr>
      <xdr:blipFill>
        <a:blip xmlns:r="http://schemas.openxmlformats.org/officeDocument/2006/relationships" r:embed="rId68" cstate="print">
          <a:extLst>
            <a:ext uri="{28A0092B-C50C-407E-A947-70E740481C1C}">
              <a14:useLocalDpi xmlns:a14="http://schemas.microsoft.com/office/drawing/2010/main" val="0"/>
            </a:ext>
          </a:extLst>
        </a:blip>
        <a:stretch>
          <a:fillRect/>
        </a:stretch>
      </xdr:blipFill>
      <xdr:spPr>
        <a:xfrm>
          <a:off x="7552763" y="5975537"/>
          <a:ext cx="353327" cy="353327"/>
        </a:xfrm>
        <a:prstGeom prst="rect">
          <a:avLst/>
        </a:prstGeom>
      </xdr:spPr>
    </xdr:pic>
    <xdr:clientData/>
  </xdr:twoCellAnchor>
  <xdr:twoCellAnchor editAs="oneCell">
    <xdr:from>
      <xdr:col>1</xdr:col>
      <xdr:colOff>0</xdr:colOff>
      <xdr:row>1</xdr:row>
      <xdr:rowOff>0</xdr:rowOff>
    </xdr:from>
    <xdr:to>
      <xdr:col>1</xdr:col>
      <xdr:colOff>1047750</xdr:colOff>
      <xdr:row>1</xdr:row>
      <xdr:rowOff>934848</xdr:rowOff>
    </xdr:to>
    <xdr:pic>
      <xdr:nvPicPr>
        <xdr:cNvPr id="80" name="Imagen 79">
          <a:extLst>
            <a:ext uri="{FF2B5EF4-FFF2-40B4-BE49-F238E27FC236}">
              <a16:creationId xmlns:a16="http://schemas.microsoft.com/office/drawing/2014/main" id="{ABD8A367-221A-4A32-8414-20AF417AE7CB}"/>
            </a:ext>
          </a:extLst>
        </xdr:cNvPr>
        <xdr:cNvPicPr>
          <a:picLocks noChangeAspect="1" noChangeArrowheads="1"/>
        </xdr:cNvPicPr>
      </xdr:nvPicPr>
      <xdr:blipFill>
        <a:blip xmlns:r="http://schemas.openxmlformats.org/officeDocument/2006/relationships" r:embed="rId69" cstate="print">
          <a:extLst>
            <a:ext uri="{28A0092B-C50C-407E-A947-70E740481C1C}">
              <a14:useLocalDpi xmlns:a14="http://schemas.microsoft.com/office/drawing/2010/main" val="0"/>
            </a:ext>
          </a:extLst>
        </a:blip>
        <a:srcRect/>
        <a:stretch>
          <a:fillRect/>
        </a:stretch>
      </xdr:blipFill>
      <xdr:spPr bwMode="auto">
        <a:xfrm>
          <a:off x="197827" y="197827"/>
          <a:ext cx="1047750" cy="9348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80</xdr:col>
      <xdr:colOff>196362</xdr:colOff>
      <xdr:row>0</xdr:row>
      <xdr:rowOff>196362</xdr:rowOff>
    </xdr:from>
    <xdr:to>
      <xdr:col>83</xdr:col>
      <xdr:colOff>5862</xdr:colOff>
      <xdr:row>1</xdr:row>
      <xdr:rowOff>933383</xdr:rowOff>
    </xdr:to>
    <xdr:pic>
      <xdr:nvPicPr>
        <xdr:cNvPr id="59" name="Imagen 58">
          <a:extLst>
            <a:ext uri="{FF2B5EF4-FFF2-40B4-BE49-F238E27FC236}">
              <a16:creationId xmlns:a16="http://schemas.microsoft.com/office/drawing/2014/main" id="{18D464A4-01A4-4657-A2A8-7AE1339B9A59}"/>
            </a:ext>
          </a:extLst>
        </xdr:cNvPr>
        <xdr:cNvPicPr>
          <a:picLocks noChangeAspect="1" noChangeArrowheads="1"/>
        </xdr:cNvPicPr>
      </xdr:nvPicPr>
      <xdr:blipFill>
        <a:blip xmlns:r="http://schemas.openxmlformats.org/officeDocument/2006/relationships" r:embed="rId69" cstate="print">
          <a:extLst>
            <a:ext uri="{28A0092B-C50C-407E-A947-70E740481C1C}">
              <a14:useLocalDpi xmlns:a14="http://schemas.microsoft.com/office/drawing/2010/main" val="0"/>
            </a:ext>
          </a:extLst>
        </a:blip>
        <a:srcRect/>
        <a:stretch>
          <a:fillRect/>
        </a:stretch>
      </xdr:blipFill>
      <xdr:spPr bwMode="auto">
        <a:xfrm>
          <a:off x="26683189" y="196362"/>
          <a:ext cx="1047750" cy="9348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64</xdr:col>
      <xdr:colOff>438150</xdr:colOff>
      <xdr:row>66</xdr:row>
      <xdr:rowOff>9525</xdr:rowOff>
    </xdr:from>
    <xdr:to>
      <xdr:col>64</xdr:col>
      <xdr:colOff>714375</xdr:colOff>
      <xdr:row>66</xdr:row>
      <xdr:rowOff>180975</xdr:rowOff>
    </xdr:to>
    <xdr:sp macro="" textlink="">
      <xdr:nvSpPr>
        <xdr:cNvPr id="3" name="Flecha: hacia abajo 2">
          <a:extLst>
            <a:ext uri="{FF2B5EF4-FFF2-40B4-BE49-F238E27FC236}">
              <a16:creationId xmlns:a16="http://schemas.microsoft.com/office/drawing/2014/main" id="{9B6E6C66-DE91-F145-5F5C-6FF1249E4654}"/>
            </a:ext>
          </a:extLst>
        </xdr:cNvPr>
        <xdr:cNvSpPr/>
      </xdr:nvSpPr>
      <xdr:spPr>
        <a:xfrm>
          <a:off x="12877800" y="15478125"/>
          <a:ext cx="276225" cy="1714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66</xdr:col>
      <xdr:colOff>619125</xdr:colOff>
      <xdr:row>68</xdr:row>
      <xdr:rowOff>61912</xdr:rowOff>
    </xdr:from>
    <xdr:to>
      <xdr:col>72</xdr:col>
      <xdr:colOff>666750</xdr:colOff>
      <xdr:row>85</xdr:row>
      <xdr:rowOff>180975</xdr:rowOff>
    </xdr:to>
    <xdr:graphicFrame macro="">
      <xdr:nvGraphicFramePr>
        <xdr:cNvPr id="4" name="Gráfico 3">
          <a:extLst>
            <a:ext uri="{FF2B5EF4-FFF2-40B4-BE49-F238E27FC236}">
              <a16:creationId xmlns:a16="http://schemas.microsoft.com/office/drawing/2014/main" id="{AA5D7AC4-7BEA-AB1A-358A-5FEB7E9DD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47625</xdr:colOff>
      <xdr:row>1</xdr:row>
      <xdr:rowOff>9525</xdr:rowOff>
    </xdr:from>
    <xdr:to>
      <xdr:col>1</xdr:col>
      <xdr:colOff>723900</xdr:colOff>
      <xdr:row>1</xdr:row>
      <xdr:rowOff>612927</xdr:rowOff>
    </xdr:to>
    <xdr:pic>
      <xdr:nvPicPr>
        <xdr:cNvPr id="2" name="Imagen 1">
          <a:extLst>
            <a:ext uri="{FF2B5EF4-FFF2-40B4-BE49-F238E27FC236}">
              <a16:creationId xmlns:a16="http://schemas.microsoft.com/office/drawing/2014/main" id="{B7C3F39E-2920-4022-8B9A-3D247146E4F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7650" y="209550"/>
          <a:ext cx="676275" cy="6034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67</xdr:col>
      <xdr:colOff>438150</xdr:colOff>
      <xdr:row>66</xdr:row>
      <xdr:rowOff>9525</xdr:rowOff>
    </xdr:from>
    <xdr:to>
      <xdr:col>67</xdr:col>
      <xdr:colOff>714375</xdr:colOff>
      <xdr:row>66</xdr:row>
      <xdr:rowOff>180975</xdr:rowOff>
    </xdr:to>
    <xdr:sp macro="" textlink="">
      <xdr:nvSpPr>
        <xdr:cNvPr id="3" name="Flecha: hacia abajo 2">
          <a:extLst>
            <a:ext uri="{FF2B5EF4-FFF2-40B4-BE49-F238E27FC236}">
              <a16:creationId xmlns:a16="http://schemas.microsoft.com/office/drawing/2014/main" id="{024584D6-43F9-4852-BB64-2BBA68D36372}"/>
            </a:ext>
          </a:extLst>
        </xdr:cNvPr>
        <xdr:cNvSpPr/>
      </xdr:nvSpPr>
      <xdr:spPr>
        <a:xfrm>
          <a:off x="12877800" y="15478125"/>
          <a:ext cx="276225" cy="1714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69</xdr:col>
      <xdr:colOff>619125</xdr:colOff>
      <xdr:row>68</xdr:row>
      <xdr:rowOff>61912</xdr:rowOff>
    </xdr:from>
    <xdr:to>
      <xdr:col>75</xdr:col>
      <xdr:colOff>666750</xdr:colOff>
      <xdr:row>85</xdr:row>
      <xdr:rowOff>180975</xdr:rowOff>
    </xdr:to>
    <xdr:graphicFrame macro="">
      <xdr:nvGraphicFramePr>
        <xdr:cNvPr id="4" name="Gráfico 3">
          <a:extLst>
            <a:ext uri="{FF2B5EF4-FFF2-40B4-BE49-F238E27FC236}">
              <a16:creationId xmlns:a16="http://schemas.microsoft.com/office/drawing/2014/main" id="{BE796B44-149F-433D-B466-DE26CFD4E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152400</xdr:rowOff>
    </xdr:from>
    <xdr:to>
      <xdr:col>1</xdr:col>
      <xdr:colOff>685800</xdr:colOff>
      <xdr:row>1</xdr:row>
      <xdr:rowOff>555777</xdr:rowOff>
    </xdr:to>
    <xdr:pic>
      <xdr:nvPicPr>
        <xdr:cNvPr id="2" name="Imagen 1">
          <a:extLst>
            <a:ext uri="{FF2B5EF4-FFF2-40B4-BE49-F238E27FC236}">
              <a16:creationId xmlns:a16="http://schemas.microsoft.com/office/drawing/2014/main" id="{FDA36470-77C5-4C7C-8F49-052CBBBA348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9550" y="152400"/>
          <a:ext cx="676275" cy="6034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9525</xdr:colOff>
      <xdr:row>0</xdr:row>
      <xdr:rowOff>85725</xdr:rowOff>
    </xdr:from>
    <xdr:to>
      <xdr:col>3</xdr:col>
      <xdr:colOff>180975</xdr:colOff>
      <xdr:row>3</xdr:row>
      <xdr:rowOff>117627</xdr:rowOff>
    </xdr:to>
    <xdr:pic>
      <xdr:nvPicPr>
        <xdr:cNvPr id="3" name="Imagen 2">
          <a:extLst>
            <a:ext uri="{FF2B5EF4-FFF2-40B4-BE49-F238E27FC236}">
              <a16:creationId xmlns:a16="http://schemas.microsoft.com/office/drawing/2014/main" id="{540A8256-5722-469A-985A-6EABD97DF6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3525" y="85725"/>
          <a:ext cx="676275" cy="6034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9</xdr:col>
      <xdr:colOff>542925</xdr:colOff>
      <xdr:row>39</xdr:row>
      <xdr:rowOff>161925</xdr:rowOff>
    </xdr:from>
    <xdr:to>
      <xdr:col>15</xdr:col>
      <xdr:colOff>85725</xdr:colOff>
      <xdr:row>41</xdr:row>
      <xdr:rowOff>47625</xdr:rowOff>
    </xdr:to>
    <xdr:sp macro="" textlink="">
      <xdr:nvSpPr>
        <xdr:cNvPr id="2" name="Rectángulo 1">
          <a:extLst>
            <a:ext uri="{FF2B5EF4-FFF2-40B4-BE49-F238E27FC236}">
              <a16:creationId xmlns:a16="http://schemas.microsoft.com/office/drawing/2014/main" id="{FDAACAC7-7DDC-A93B-949E-11B72076BB4B}"/>
            </a:ext>
          </a:extLst>
        </xdr:cNvPr>
        <xdr:cNvSpPr/>
      </xdr:nvSpPr>
      <xdr:spPr>
        <a:xfrm>
          <a:off x="7191375" y="7505700"/>
          <a:ext cx="3933825" cy="266700"/>
        </a:xfrm>
        <a:prstGeom prst="rect">
          <a:avLst/>
        </a:prstGeom>
        <a:noFill/>
        <a:ln w="57150"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s-MX" sz="1100"/>
        </a:p>
      </xdr:txBody>
    </xdr:sp>
    <xdr:clientData/>
  </xdr:twoCellAnchor>
  <xdr:twoCellAnchor editAs="oneCell">
    <xdr:from>
      <xdr:col>0</xdr:col>
      <xdr:colOff>695325</xdr:colOff>
      <xdr:row>0</xdr:row>
      <xdr:rowOff>9524</xdr:rowOff>
    </xdr:from>
    <xdr:to>
      <xdr:col>3</xdr:col>
      <xdr:colOff>390525</xdr:colOff>
      <xdr:row>5</xdr:row>
      <xdr:rowOff>136349</xdr:rowOff>
    </xdr:to>
    <xdr:pic>
      <xdr:nvPicPr>
        <xdr:cNvPr id="4" name="Imagen 3">
          <a:extLst>
            <a:ext uri="{FF2B5EF4-FFF2-40B4-BE49-F238E27FC236}">
              <a16:creationId xmlns:a16="http://schemas.microsoft.com/office/drawing/2014/main" id="{891243E6-31E7-4AC1-876F-F8085B2344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9524"/>
          <a:ext cx="1209675" cy="107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76200</xdr:colOff>
      <xdr:row>18</xdr:row>
      <xdr:rowOff>161926</xdr:rowOff>
    </xdr:from>
    <xdr:to>
      <xdr:col>15</xdr:col>
      <xdr:colOff>66675</xdr:colOff>
      <xdr:row>20</xdr:row>
      <xdr:rowOff>9526</xdr:rowOff>
    </xdr:to>
    <xdr:sp macro="" textlink="">
      <xdr:nvSpPr>
        <xdr:cNvPr id="2" name="Rectángulo 1">
          <a:extLst>
            <a:ext uri="{FF2B5EF4-FFF2-40B4-BE49-F238E27FC236}">
              <a16:creationId xmlns:a16="http://schemas.microsoft.com/office/drawing/2014/main" id="{355374FA-D497-4E83-9AF4-1305DEE4C254}"/>
            </a:ext>
          </a:extLst>
        </xdr:cNvPr>
        <xdr:cNvSpPr/>
      </xdr:nvSpPr>
      <xdr:spPr>
        <a:xfrm>
          <a:off x="838200" y="3676651"/>
          <a:ext cx="10344150" cy="228600"/>
        </a:xfrm>
        <a:prstGeom prst="rect">
          <a:avLst/>
        </a:prstGeom>
        <a:noFill/>
        <a:ln w="57150"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s-MX" sz="1100"/>
        </a:p>
      </xdr:txBody>
    </xdr:sp>
    <xdr:clientData/>
  </xdr:twoCellAnchor>
  <xdr:twoCellAnchor>
    <xdr:from>
      <xdr:col>1</xdr:col>
      <xdr:colOff>47625</xdr:colOff>
      <xdr:row>21</xdr:row>
      <xdr:rowOff>171451</xdr:rowOff>
    </xdr:from>
    <xdr:to>
      <xdr:col>15</xdr:col>
      <xdr:colOff>38100</xdr:colOff>
      <xdr:row>23</xdr:row>
      <xdr:rowOff>19051</xdr:rowOff>
    </xdr:to>
    <xdr:sp macro="" textlink="">
      <xdr:nvSpPr>
        <xdr:cNvPr id="3" name="Rectángulo 2">
          <a:extLst>
            <a:ext uri="{FF2B5EF4-FFF2-40B4-BE49-F238E27FC236}">
              <a16:creationId xmlns:a16="http://schemas.microsoft.com/office/drawing/2014/main" id="{431B7583-10A5-4C50-9141-EA671C4E8E34}"/>
            </a:ext>
          </a:extLst>
        </xdr:cNvPr>
        <xdr:cNvSpPr/>
      </xdr:nvSpPr>
      <xdr:spPr>
        <a:xfrm>
          <a:off x="809625" y="4257676"/>
          <a:ext cx="10344150" cy="228600"/>
        </a:xfrm>
        <a:prstGeom prst="rect">
          <a:avLst/>
        </a:prstGeom>
        <a:noFill/>
        <a:ln w="57150"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s-MX" sz="1100"/>
        </a:p>
      </xdr:txBody>
    </xdr:sp>
    <xdr:clientData/>
  </xdr:twoCellAnchor>
  <xdr:twoCellAnchor>
    <xdr:from>
      <xdr:col>11</xdr:col>
      <xdr:colOff>28575</xdr:colOff>
      <xdr:row>23</xdr:row>
      <xdr:rowOff>57149</xdr:rowOff>
    </xdr:from>
    <xdr:to>
      <xdr:col>11</xdr:col>
      <xdr:colOff>466725</xdr:colOff>
      <xdr:row>29</xdr:row>
      <xdr:rowOff>47624</xdr:rowOff>
    </xdr:to>
    <xdr:sp macro="" textlink="">
      <xdr:nvSpPr>
        <xdr:cNvPr id="5" name="Flecha: hacia abajo 4">
          <a:extLst>
            <a:ext uri="{FF2B5EF4-FFF2-40B4-BE49-F238E27FC236}">
              <a16:creationId xmlns:a16="http://schemas.microsoft.com/office/drawing/2014/main" id="{FCDD7199-C0CF-4E93-9A7D-D241BADFC549}"/>
            </a:ext>
          </a:extLst>
        </xdr:cNvPr>
        <xdr:cNvSpPr/>
      </xdr:nvSpPr>
      <xdr:spPr>
        <a:xfrm>
          <a:off x="8401050" y="4543424"/>
          <a:ext cx="438150" cy="11334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editAs="oneCell">
    <xdr:from>
      <xdr:col>13</xdr:col>
      <xdr:colOff>657225</xdr:colOff>
      <xdr:row>0</xdr:row>
      <xdr:rowOff>47625</xdr:rowOff>
    </xdr:from>
    <xdr:to>
      <xdr:col>16</xdr:col>
      <xdr:colOff>38100</xdr:colOff>
      <xdr:row>4</xdr:row>
      <xdr:rowOff>174450</xdr:rowOff>
    </xdr:to>
    <xdr:pic>
      <xdr:nvPicPr>
        <xdr:cNvPr id="7" name="Imagen 6">
          <a:extLst>
            <a:ext uri="{FF2B5EF4-FFF2-40B4-BE49-F238E27FC236}">
              <a16:creationId xmlns:a16="http://schemas.microsoft.com/office/drawing/2014/main" id="{DEF5CDCB-5596-41B2-9B35-AB0F40BE03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96500" y="47625"/>
          <a:ext cx="1209675" cy="107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63501</xdr:colOff>
      <xdr:row>0</xdr:row>
      <xdr:rowOff>0</xdr:rowOff>
    </xdr:from>
    <xdr:to>
      <xdr:col>0</xdr:col>
      <xdr:colOff>711137</xdr:colOff>
      <xdr:row>1</xdr:row>
      <xdr:rowOff>31750</xdr:rowOff>
    </xdr:to>
    <xdr:pic>
      <xdr:nvPicPr>
        <xdr:cNvPr id="2" name="Imagen 1">
          <a:extLst>
            <a:ext uri="{FF2B5EF4-FFF2-40B4-BE49-F238E27FC236}">
              <a16:creationId xmlns:a16="http://schemas.microsoft.com/office/drawing/2014/main" id="{F2030ED2-C035-4335-B2DE-D32BE5D588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1" y="0"/>
          <a:ext cx="647636" cy="577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47625</xdr:colOff>
      <xdr:row>0</xdr:row>
      <xdr:rowOff>0</xdr:rowOff>
    </xdr:from>
    <xdr:to>
      <xdr:col>1</xdr:col>
      <xdr:colOff>544286</xdr:colOff>
      <xdr:row>2</xdr:row>
      <xdr:rowOff>62143</xdr:rowOff>
    </xdr:to>
    <xdr:pic>
      <xdr:nvPicPr>
        <xdr:cNvPr id="3" name="Imagen 2">
          <a:extLst>
            <a:ext uri="{FF2B5EF4-FFF2-40B4-BE49-F238E27FC236}">
              <a16:creationId xmlns:a16="http://schemas.microsoft.com/office/drawing/2014/main" id="{EA52360E-2799-4A27-93F5-BFA857F0F4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929" y="0"/>
          <a:ext cx="496661" cy="443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5</xdr:col>
      <xdr:colOff>9525</xdr:colOff>
      <xdr:row>12</xdr:row>
      <xdr:rowOff>152400</xdr:rowOff>
    </xdr:from>
    <xdr:to>
      <xdr:col>8</xdr:col>
      <xdr:colOff>57150</xdr:colOff>
      <xdr:row>19</xdr:row>
      <xdr:rowOff>180975</xdr:rowOff>
    </xdr:to>
    <xdr:sp macro="" textlink="">
      <xdr:nvSpPr>
        <xdr:cNvPr id="2" name="Rectángulo: esquinas redondeadas 1">
          <a:extLst>
            <a:ext uri="{FF2B5EF4-FFF2-40B4-BE49-F238E27FC236}">
              <a16:creationId xmlns:a16="http://schemas.microsoft.com/office/drawing/2014/main" id="{FEB48A0D-2227-AC8B-1E43-1BAD4BFECA6F}"/>
            </a:ext>
          </a:extLst>
        </xdr:cNvPr>
        <xdr:cNvSpPr/>
      </xdr:nvSpPr>
      <xdr:spPr>
        <a:xfrm>
          <a:off x="3819525" y="2438400"/>
          <a:ext cx="2333625" cy="1362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400" kern="1200"/>
            <a:t>Capacitacion</a:t>
          </a:r>
          <a:r>
            <a:rPr lang="es-MX" sz="2400" kern="1200" baseline="0"/>
            <a:t> y Certificacion</a:t>
          </a:r>
          <a:endParaRPr lang="es-MX" sz="2400" kern="1200"/>
        </a:p>
      </xdr:txBody>
    </xdr:sp>
    <xdr:clientData/>
  </xdr:twoCellAnchor>
  <xdr:twoCellAnchor>
    <xdr:from>
      <xdr:col>9</xdr:col>
      <xdr:colOff>28575</xdr:colOff>
      <xdr:row>12</xdr:row>
      <xdr:rowOff>161925</xdr:rowOff>
    </xdr:from>
    <xdr:to>
      <xdr:col>12</xdr:col>
      <xdr:colOff>76200</xdr:colOff>
      <xdr:row>20</xdr:row>
      <xdr:rowOff>0</xdr:rowOff>
    </xdr:to>
    <xdr:sp macro="" textlink="">
      <xdr:nvSpPr>
        <xdr:cNvPr id="3" name="Rectángulo: esquinas redondeadas 2">
          <a:extLst>
            <a:ext uri="{FF2B5EF4-FFF2-40B4-BE49-F238E27FC236}">
              <a16:creationId xmlns:a16="http://schemas.microsoft.com/office/drawing/2014/main" id="{744A8653-0E9B-4056-8D69-AFA02A9DFDC9}"/>
            </a:ext>
          </a:extLst>
        </xdr:cNvPr>
        <xdr:cNvSpPr/>
      </xdr:nvSpPr>
      <xdr:spPr>
        <a:xfrm>
          <a:off x="6886575" y="2447925"/>
          <a:ext cx="2333625" cy="1362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400" kern="1200"/>
            <a:t>Desarrollo</a:t>
          </a:r>
        </a:p>
      </xdr:txBody>
    </xdr:sp>
    <xdr:clientData/>
  </xdr:twoCellAnchor>
  <xdr:twoCellAnchor>
    <xdr:from>
      <xdr:col>13</xdr:col>
      <xdr:colOff>38100</xdr:colOff>
      <xdr:row>12</xdr:row>
      <xdr:rowOff>142875</xdr:rowOff>
    </xdr:from>
    <xdr:to>
      <xdr:col>16</xdr:col>
      <xdr:colOff>85725</xdr:colOff>
      <xdr:row>19</xdr:row>
      <xdr:rowOff>171450</xdr:rowOff>
    </xdr:to>
    <xdr:sp macro="" textlink="">
      <xdr:nvSpPr>
        <xdr:cNvPr id="4" name="Rectángulo: esquinas redondeadas 3">
          <a:extLst>
            <a:ext uri="{FF2B5EF4-FFF2-40B4-BE49-F238E27FC236}">
              <a16:creationId xmlns:a16="http://schemas.microsoft.com/office/drawing/2014/main" id="{45294535-D6A3-4EAA-A9A2-A2C5AF98F527}"/>
            </a:ext>
          </a:extLst>
        </xdr:cNvPr>
        <xdr:cNvSpPr/>
      </xdr:nvSpPr>
      <xdr:spPr>
        <a:xfrm>
          <a:off x="9944100" y="2428875"/>
          <a:ext cx="2333625" cy="1362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400" kern="1200"/>
            <a:t>Staffing / Headhunting</a:t>
          </a:r>
        </a:p>
      </xdr:txBody>
    </xdr:sp>
    <xdr:clientData/>
  </xdr:twoCellAnchor>
  <xdr:twoCellAnchor editAs="oneCell">
    <xdr:from>
      <xdr:col>14</xdr:col>
      <xdr:colOff>142875</xdr:colOff>
      <xdr:row>0</xdr:row>
      <xdr:rowOff>142875</xdr:rowOff>
    </xdr:from>
    <xdr:to>
      <xdr:col>16</xdr:col>
      <xdr:colOff>161925</xdr:colOff>
      <xdr:row>7</xdr:row>
      <xdr:rowOff>186151</xdr:rowOff>
    </xdr:to>
    <xdr:pic>
      <xdr:nvPicPr>
        <xdr:cNvPr id="5" name="Imagen 4">
          <a:extLst>
            <a:ext uri="{FF2B5EF4-FFF2-40B4-BE49-F238E27FC236}">
              <a16:creationId xmlns:a16="http://schemas.microsoft.com/office/drawing/2014/main" id="{81516E2F-B5CA-463B-997E-DD49A677AE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0875" y="142875"/>
          <a:ext cx="1543050" cy="13767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628</xdr:colOff>
      <xdr:row>0</xdr:row>
      <xdr:rowOff>28575</xdr:rowOff>
    </xdr:from>
    <xdr:to>
      <xdr:col>13</xdr:col>
      <xdr:colOff>29936</xdr:colOff>
      <xdr:row>4</xdr:row>
      <xdr:rowOff>104775</xdr:rowOff>
    </xdr:to>
    <xdr:pic>
      <xdr:nvPicPr>
        <xdr:cNvPr id="2" name="Imagen 1">
          <a:extLst>
            <a:ext uri="{FF2B5EF4-FFF2-40B4-BE49-F238E27FC236}">
              <a16:creationId xmlns:a16="http://schemas.microsoft.com/office/drawing/2014/main" id="{D4B4E8E2-AFD1-41C3-84A6-26095B4EAA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06528" y="28575"/>
          <a:ext cx="1067533"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624AE-E887-44C1-922F-FE40F3E995A3}">
  <sheetPr>
    <pageSetUpPr fitToPage="1"/>
  </sheetPr>
  <dimension ref="A1:JS31"/>
  <sheetViews>
    <sheetView topLeftCell="A2" zoomScale="120" zoomScaleNormal="120" workbookViewId="0">
      <pane xSplit="8" ySplit="1" topLeftCell="I3" activePane="bottomRight" state="frozen"/>
      <selection activeCell="A2" sqref="A2"/>
      <selection pane="topRight" activeCell="I2" sqref="I2"/>
      <selection pane="bottomLeft" activeCell="A3" sqref="A3"/>
      <selection pane="bottomRight" activeCell="B2" sqref="B2"/>
    </sheetView>
  </sheetViews>
  <sheetFormatPr baseColWidth="10" defaultColWidth="11.42578125" defaultRowHeight="15" x14ac:dyDescent="0.25"/>
  <cols>
    <col min="1" max="1" width="3" style="3" bestFit="1" customWidth="1"/>
    <col min="2" max="2" width="57.7109375" customWidth="1"/>
    <col min="3" max="3" width="10.7109375" customWidth="1"/>
    <col min="4" max="4" width="8.5703125" customWidth="1"/>
    <col min="5" max="5" width="15.7109375" style="8" customWidth="1"/>
    <col min="6" max="6" width="15.7109375" style="34" customWidth="1"/>
    <col min="7" max="7" width="8.85546875" style="8" customWidth="1"/>
    <col min="8" max="8" width="14.7109375" style="8" customWidth="1"/>
    <col min="9" max="16" width="3.7109375" bestFit="1" customWidth="1"/>
    <col min="17" max="18" width="3.7109375" customWidth="1"/>
    <col min="19" max="21" width="3.7109375" bestFit="1" customWidth="1"/>
    <col min="22" max="22" width="44.85546875" customWidth="1"/>
    <col min="23" max="23" width="7.5703125" customWidth="1"/>
    <col min="24" max="24" width="5.85546875" style="21" bestFit="1" customWidth="1"/>
    <col min="25" max="25" width="7.7109375" customWidth="1"/>
    <col min="26" max="26" width="5.85546875" style="21" bestFit="1" customWidth="1"/>
    <col min="27" max="27" width="10" style="21" customWidth="1"/>
    <col min="28" max="65" width="3.7109375" bestFit="1" customWidth="1"/>
    <col min="66" max="66" width="5.85546875" style="21" bestFit="1" customWidth="1"/>
    <col min="67" max="67" width="1.5703125" customWidth="1"/>
    <col min="68" max="86" width="3.7109375" bestFit="1" customWidth="1"/>
    <col min="87" max="87" width="5.42578125" bestFit="1" customWidth="1"/>
    <col min="88" max="88" width="9.42578125" bestFit="1" customWidth="1"/>
  </cols>
  <sheetData>
    <row r="1" spans="1:279" ht="15.75" thickBot="1" x14ac:dyDescent="0.3">
      <c r="AB1" s="371" t="s">
        <v>87</v>
      </c>
      <c r="AC1" s="372"/>
      <c r="AD1" s="372"/>
      <c r="AE1" s="372"/>
      <c r="AF1" s="371" t="s">
        <v>88</v>
      </c>
      <c r="AG1" s="372"/>
      <c r="AH1" s="372"/>
      <c r="AI1" s="372"/>
      <c r="AJ1" s="371" t="s">
        <v>89</v>
      </c>
      <c r="AK1" s="372"/>
      <c r="AL1" s="372"/>
      <c r="AM1" s="372"/>
      <c r="AN1" s="371" t="s">
        <v>90</v>
      </c>
      <c r="AO1" s="372"/>
      <c r="AP1" s="372"/>
      <c r="AQ1" s="372"/>
      <c r="AR1" s="371" t="s">
        <v>91</v>
      </c>
      <c r="AS1" s="372"/>
      <c r="AT1" s="372"/>
      <c r="AU1" s="372"/>
      <c r="AV1" s="371" t="s">
        <v>92</v>
      </c>
      <c r="AW1" s="372"/>
      <c r="AX1" s="372"/>
      <c r="AY1" s="372"/>
      <c r="AZ1" s="371" t="s">
        <v>93</v>
      </c>
      <c r="BA1" s="372"/>
      <c r="BB1" s="372"/>
      <c r="BC1" s="372"/>
      <c r="BD1" s="371" t="s">
        <v>94</v>
      </c>
      <c r="BE1" s="372"/>
      <c r="BF1" s="372"/>
      <c r="BG1" s="372"/>
      <c r="BH1" s="371" t="s">
        <v>95</v>
      </c>
      <c r="BI1" s="372"/>
      <c r="BJ1" s="372"/>
      <c r="BK1" s="372"/>
    </row>
    <row r="2" spans="1:279" ht="114.75" thickBot="1" x14ac:dyDescent="0.35">
      <c r="B2" s="161" t="s">
        <v>205</v>
      </c>
      <c r="C2" s="133" t="s">
        <v>17</v>
      </c>
      <c r="D2" s="134" t="s">
        <v>0</v>
      </c>
      <c r="E2" s="135" t="s">
        <v>106</v>
      </c>
      <c r="F2" s="134" t="s">
        <v>107</v>
      </c>
      <c r="G2" s="134" t="s">
        <v>109</v>
      </c>
      <c r="H2" s="136" t="s">
        <v>31</v>
      </c>
      <c r="I2" s="137" t="s">
        <v>30</v>
      </c>
      <c r="J2" s="138" t="s">
        <v>32</v>
      </c>
      <c r="K2" s="139" t="s">
        <v>33</v>
      </c>
      <c r="L2" s="139" t="s">
        <v>34</v>
      </c>
      <c r="M2" s="139" t="s">
        <v>35</v>
      </c>
      <c r="N2" s="139" t="s">
        <v>36</v>
      </c>
      <c r="O2" s="139" t="s">
        <v>39</v>
      </c>
      <c r="P2" s="139" t="s">
        <v>37</v>
      </c>
      <c r="Q2" s="139" t="s">
        <v>9</v>
      </c>
      <c r="R2" s="139" t="s">
        <v>40</v>
      </c>
      <c r="S2" s="139" t="s">
        <v>10</v>
      </c>
      <c r="T2" s="139" t="s">
        <v>22</v>
      </c>
      <c r="U2" s="140" t="s">
        <v>38</v>
      </c>
      <c r="V2" s="141" t="s">
        <v>86</v>
      </c>
      <c r="W2" s="142" t="s">
        <v>85</v>
      </c>
      <c r="X2" s="143" t="s">
        <v>84</v>
      </c>
      <c r="Y2" s="142" t="s">
        <v>85</v>
      </c>
      <c r="Z2" s="143" t="s">
        <v>84</v>
      </c>
      <c r="AA2" s="144" t="s">
        <v>191</v>
      </c>
      <c r="AB2" s="97" t="s">
        <v>44</v>
      </c>
      <c r="AC2" s="19" t="s">
        <v>45</v>
      </c>
      <c r="AD2" s="19" t="s">
        <v>46</v>
      </c>
      <c r="AE2" s="19" t="s">
        <v>47</v>
      </c>
      <c r="AF2" s="20" t="s">
        <v>48</v>
      </c>
      <c r="AG2" s="20" t="s">
        <v>49</v>
      </c>
      <c r="AH2" s="20" t="s">
        <v>50</v>
      </c>
      <c r="AI2" s="20" t="s">
        <v>51</v>
      </c>
      <c r="AJ2" s="19" t="s">
        <v>52</v>
      </c>
      <c r="AK2" s="19" t="s">
        <v>53</v>
      </c>
      <c r="AL2" s="19" t="s">
        <v>54</v>
      </c>
      <c r="AM2" s="19" t="s">
        <v>55</v>
      </c>
      <c r="AN2" s="20" t="s">
        <v>56</v>
      </c>
      <c r="AO2" s="20" t="s">
        <v>57</v>
      </c>
      <c r="AP2" s="20" t="s">
        <v>58</v>
      </c>
      <c r="AQ2" s="20" t="s">
        <v>59</v>
      </c>
      <c r="AR2" s="19" t="s">
        <v>60</v>
      </c>
      <c r="AS2" s="19" t="s">
        <v>61</v>
      </c>
      <c r="AT2" s="19" t="s">
        <v>62</v>
      </c>
      <c r="AU2" s="19" t="s">
        <v>63</v>
      </c>
      <c r="AV2" s="20" t="s">
        <v>64</v>
      </c>
      <c r="AW2" s="20" t="s">
        <v>65</v>
      </c>
      <c r="AX2" s="20" t="s">
        <v>66</v>
      </c>
      <c r="AY2" s="20" t="s">
        <v>67</v>
      </c>
      <c r="AZ2" s="19" t="s">
        <v>68</v>
      </c>
      <c r="BA2" s="19" t="s">
        <v>69</v>
      </c>
      <c r="BB2" s="19" t="s">
        <v>70</v>
      </c>
      <c r="BC2" s="19" t="s">
        <v>71</v>
      </c>
      <c r="BD2" s="20" t="s">
        <v>72</v>
      </c>
      <c r="BE2" s="20" t="s">
        <v>73</v>
      </c>
      <c r="BF2" s="20" t="s">
        <v>74</v>
      </c>
      <c r="BG2" s="20" t="s">
        <v>75</v>
      </c>
      <c r="BH2" s="19" t="s">
        <v>76</v>
      </c>
      <c r="BI2" s="19" t="s">
        <v>77</v>
      </c>
      <c r="BJ2" s="19" t="s">
        <v>78</v>
      </c>
      <c r="BK2" s="19" t="s">
        <v>79</v>
      </c>
      <c r="BL2" s="20" t="s">
        <v>80</v>
      </c>
      <c r="BM2" s="20" t="s">
        <v>81</v>
      </c>
      <c r="BN2" s="1" t="s">
        <v>84</v>
      </c>
      <c r="BP2" s="19" t="s">
        <v>163</v>
      </c>
      <c r="BQ2" s="19" t="s">
        <v>164</v>
      </c>
      <c r="BR2" s="19" t="s">
        <v>165</v>
      </c>
      <c r="BS2" s="19" t="s">
        <v>166</v>
      </c>
      <c r="BT2" s="20" t="s">
        <v>167</v>
      </c>
      <c r="BU2" s="20" t="s">
        <v>168</v>
      </c>
      <c r="BV2" s="20" t="s">
        <v>169</v>
      </c>
      <c r="BW2" s="20" t="s">
        <v>170</v>
      </c>
      <c r="BX2" s="19" t="s">
        <v>171</v>
      </c>
      <c r="BY2" s="19" t="s">
        <v>172</v>
      </c>
      <c r="BZ2" s="19" t="s">
        <v>173</v>
      </c>
      <c r="CA2" s="19" t="s">
        <v>174</v>
      </c>
      <c r="CB2" s="20" t="s">
        <v>175</v>
      </c>
      <c r="CC2" s="20" t="s">
        <v>176</v>
      </c>
      <c r="CD2" s="20" t="s">
        <v>177</v>
      </c>
      <c r="CE2" s="20" t="s">
        <v>178</v>
      </c>
      <c r="CF2" s="19" t="s">
        <v>179</v>
      </c>
      <c r="CG2" s="19" t="s">
        <v>180</v>
      </c>
      <c r="CH2" s="19" t="s">
        <v>181</v>
      </c>
      <c r="CI2" s="1" t="s">
        <v>84</v>
      </c>
      <c r="CJ2" s="61" t="s">
        <v>182</v>
      </c>
    </row>
    <row r="3" spans="1:279" s="3" customFormat="1" x14ac:dyDescent="0.25">
      <c r="A3" s="145">
        <v>1</v>
      </c>
      <c r="B3" s="146" t="s">
        <v>209</v>
      </c>
      <c r="C3" s="147"/>
      <c r="D3" s="148"/>
      <c r="E3" s="148"/>
      <c r="F3" s="148"/>
      <c r="G3" s="148"/>
      <c r="H3" s="149"/>
      <c r="I3" s="150"/>
      <c r="J3" s="151"/>
      <c r="K3" s="152"/>
      <c r="L3" s="152"/>
      <c r="M3" s="152"/>
      <c r="N3" s="152"/>
      <c r="O3" s="152"/>
      <c r="P3" s="152"/>
      <c r="Q3" s="152"/>
      <c r="R3" s="152"/>
      <c r="S3" s="152"/>
      <c r="T3" s="152"/>
      <c r="U3" s="153"/>
      <c r="V3" s="154" t="s">
        <v>185</v>
      </c>
      <c r="W3" s="155">
        <v>8</v>
      </c>
      <c r="X3" s="156">
        <f>+BN3</f>
        <v>76</v>
      </c>
      <c r="Y3" s="157">
        <v>8</v>
      </c>
      <c r="Z3" s="156">
        <f>+CI3</f>
        <v>38</v>
      </c>
      <c r="AA3" s="156">
        <f>+X3+Z3</f>
        <v>114</v>
      </c>
      <c r="AB3" s="98">
        <v>2</v>
      </c>
      <c r="AC3" s="14">
        <v>2</v>
      </c>
      <c r="AD3" s="14">
        <v>2</v>
      </c>
      <c r="AE3" s="14">
        <v>2</v>
      </c>
      <c r="AF3" s="10">
        <v>2</v>
      </c>
      <c r="AG3" s="10">
        <v>2</v>
      </c>
      <c r="AH3" s="10">
        <v>2</v>
      </c>
      <c r="AI3" s="10">
        <v>2</v>
      </c>
      <c r="AJ3" s="14">
        <v>2</v>
      </c>
      <c r="AK3" s="14">
        <v>2</v>
      </c>
      <c r="AL3" s="14">
        <v>2</v>
      </c>
      <c r="AM3" s="14">
        <v>2</v>
      </c>
      <c r="AN3" s="10">
        <v>2</v>
      </c>
      <c r="AO3" s="10">
        <v>2</v>
      </c>
      <c r="AP3" s="10">
        <v>2</v>
      </c>
      <c r="AQ3" s="10">
        <v>2</v>
      </c>
      <c r="AR3" s="14">
        <v>2</v>
      </c>
      <c r="AS3" s="14">
        <v>2</v>
      </c>
      <c r="AT3" s="14">
        <v>2</v>
      </c>
      <c r="AU3" s="14">
        <v>2</v>
      </c>
      <c r="AV3" s="10">
        <v>2</v>
      </c>
      <c r="AW3" s="10">
        <v>2</v>
      </c>
      <c r="AX3" s="10">
        <v>2</v>
      </c>
      <c r="AY3" s="10">
        <v>2</v>
      </c>
      <c r="AZ3" s="14">
        <v>2</v>
      </c>
      <c r="BA3" s="14">
        <v>2</v>
      </c>
      <c r="BB3" s="14">
        <v>2</v>
      </c>
      <c r="BC3" s="14">
        <v>2</v>
      </c>
      <c r="BD3" s="10">
        <v>2</v>
      </c>
      <c r="BE3" s="10">
        <v>2</v>
      </c>
      <c r="BF3" s="10">
        <v>2</v>
      </c>
      <c r="BG3" s="10">
        <v>2</v>
      </c>
      <c r="BH3" s="14">
        <v>2</v>
      </c>
      <c r="BI3" s="14">
        <v>2</v>
      </c>
      <c r="BJ3" s="14">
        <v>2</v>
      </c>
      <c r="BK3" s="14">
        <v>2</v>
      </c>
      <c r="BL3" s="10">
        <v>2</v>
      </c>
      <c r="BM3" s="10">
        <v>2</v>
      </c>
      <c r="BN3" s="22">
        <f>SUM(AB3:BM3)</f>
        <v>76</v>
      </c>
      <c r="BO3" s="9"/>
      <c r="BP3" s="10">
        <v>2</v>
      </c>
      <c r="BQ3" s="10">
        <v>2</v>
      </c>
      <c r="BR3" s="10">
        <v>2</v>
      </c>
      <c r="BS3" s="10">
        <v>2</v>
      </c>
      <c r="BT3" s="10">
        <v>2</v>
      </c>
      <c r="BU3" s="10">
        <v>2</v>
      </c>
      <c r="BV3" s="10">
        <v>2</v>
      </c>
      <c r="BW3" s="10">
        <v>2</v>
      </c>
      <c r="BX3" s="10">
        <v>2</v>
      </c>
      <c r="BY3" s="10">
        <v>2</v>
      </c>
      <c r="BZ3" s="10">
        <v>2</v>
      </c>
      <c r="CA3" s="10">
        <v>2</v>
      </c>
      <c r="CB3" s="10">
        <v>2</v>
      </c>
      <c r="CC3" s="10">
        <v>2</v>
      </c>
      <c r="CD3" s="10">
        <v>2</v>
      </c>
      <c r="CE3" s="10">
        <v>2</v>
      </c>
      <c r="CF3" s="10">
        <v>2</v>
      </c>
      <c r="CG3" s="10">
        <v>2</v>
      </c>
      <c r="CH3" s="10">
        <v>2</v>
      </c>
      <c r="CI3" s="22">
        <f>SUM(BP3:CH3)</f>
        <v>38</v>
      </c>
      <c r="CJ3" s="22">
        <f>+CI3+BN3</f>
        <v>114</v>
      </c>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row>
    <row r="4" spans="1:279" s="3" customFormat="1" ht="15.75" x14ac:dyDescent="0.25">
      <c r="A4" s="158">
        <v>2</v>
      </c>
      <c r="B4" s="110" t="s">
        <v>4</v>
      </c>
      <c r="C4" s="125"/>
      <c r="D4" s="62"/>
      <c r="E4" s="62"/>
      <c r="F4" s="62"/>
      <c r="G4" s="62"/>
      <c r="H4" s="63"/>
      <c r="I4" s="83"/>
      <c r="J4" s="80"/>
      <c r="K4" s="23"/>
      <c r="L4" s="4"/>
      <c r="M4" s="4"/>
      <c r="N4" s="6"/>
      <c r="O4" s="6"/>
      <c r="P4" s="6"/>
      <c r="Q4" s="6"/>
      <c r="R4" s="6"/>
      <c r="S4" s="6"/>
      <c r="T4" s="6"/>
      <c r="U4" s="66"/>
      <c r="V4" s="101" t="s">
        <v>187</v>
      </c>
      <c r="W4" s="74" t="s">
        <v>189</v>
      </c>
      <c r="X4" s="105">
        <f t="shared" ref="X4:X30" si="0">+BN4</f>
        <v>4</v>
      </c>
      <c r="Y4" s="74" t="s">
        <v>189</v>
      </c>
      <c r="Z4" s="107">
        <f>+CI4</f>
        <v>1</v>
      </c>
      <c r="AA4" s="107">
        <f t="shared" ref="AA4:AA30" si="1">+X4+Z4</f>
        <v>5</v>
      </c>
      <c r="AB4" s="98">
        <v>1</v>
      </c>
      <c r="AC4" s="14"/>
      <c r="AD4" s="14"/>
      <c r="AE4" s="14"/>
      <c r="AF4" s="10"/>
      <c r="AG4" s="10"/>
      <c r="AH4" s="10"/>
      <c r="AI4" s="10"/>
      <c r="AJ4" s="14"/>
      <c r="AK4" s="14"/>
      <c r="AL4" s="14"/>
      <c r="AM4" s="14"/>
      <c r="AN4" s="10">
        <v>1</v>
      </c>
      <c r="AO4" s="10"/>
      <c r="AP4" s="10"/>
      <c r="AQ4" s="10"/>
      <c r="AR4" s="14"/>
      <c r="AS4" s="14"/>
      <c r="AT4" s="14"/>
      <c r="AU4" s="14"/>
      <c r="AV4" s="10"/>
      <c r="AW4" s="10"/>
      <c r="AX4" s="10"/>
      <c r="AY4" s="10"/>
      <c r="AZ4" s="14">
        <v>1</v>
      </c>
      <c r="BA4" s="14"/>
      <c r="BB4" s="14"/>
      <c r="BC4" s="14"/>
      <c r="BD4" s="10"/>
      <c r="BE4" s="10"/>
      <c r="BF4" s="10"/>
      <c r="BG4" s="10"/>
      <c r="BH4" s="14"/>
      <c r="BI4" s="14"/>
      <c r="BJ4" s="14"/>
      <c r="BK4" s="14"/>
      <c r="BL4" s="10">
        <v>1</v>
      </c>
      <c r="BM4" s="10"/>
      <c r="BN4" s="22">
        <f t="shared" ref="BN4:BN30" si="2">SUM(AB4:BM4)</f>
        <v>4</v>
      </c>
      <c r="BO4" s="9"/>
      <c r="BP4" s="10"/>
      <c r="BQ4" s="10"/>
      <c r="BR4" s="10"/>
      <c r="BS4" s="10"/>
      <c r="BT4" s="10"/>
      <c r="BU4" s="10"/>
      <c r="BV4" s="10"/>
      <c r="BW4" s="10"/>
      <c r="BX4" s="10"/>
      <c r="BY4" s="10"/>
      <c r="BZ4" s="10"/>
      <c r="CA4" s="10"/>
      <c r="CB4" s="10"/>
      <c r="CC4" s="10"/>
      <c r="CD4" s="10"/>
      <c r="CE4" s="10"/>
      <c r="CF4" s="10"/>
      <c r="CG4" s="10">
        <v>1</v>
      </c>
      <c r="CH4" s="10"/>
      <c r="CI4" s="22">
        <f t="shared" ref="CI4:CI26" si="3">SUM(BP4:CH4)</f>
        <v>1</v>
      </c>
      <c r="CJ4" s="22">
        <f t="shared" ref="CJ4:CJ30" si="4">+CI4+BN4</f>
        <v>5</v>
      </c>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row>
    <row r="5" spans="1:279" s="3" customFormat="1" x14ac:dyDescent="0.25">
      <c r="A5" s="158">
        <v>3</v>
      </c>
      <c r="B5" s="111" t="s">
        <v>7</v>
      </c>
      <c r="C5" s="126" t="s">
        <v>25</v>
      </c>
      <c r="D5" s="18" t="s">
        <v>20</v>
      </c>
      <c r="F5" s="36" t="s">
        <v>32</v>
      </c>
      <c r="G5" s="8" t="e" vm="1">
        <v>#VALUE!</v>
      </c>
      <c r="H5" s="64"/>
      <c r="I5" s="84"/>
      <c r="J5" s="80"/>
      <c r="K5" s="6"/>
      <c r="L5" s="6"/>
      <c r="M5" s="6"/>
      <c r="N5" s="6"/>
      <c r="O5" s="6"/>
      <c r="P5" s="6"/>
      <c r="Q5" s="6"/>
      <c r="R5" s="6"/>
      <c r="S5" s="6"/>
      <c r="T5" s="6"/>
      <c r="U5" s="66"/>
      <c r="V5" s="101" t="s">
        <v>184</v>
      </c>
      <c r="W5" s="74">
        <v>4</v>
      </c>
      <c r="X5" s="105">
        <f t="shared" si="0"/>
        <v>38</v>
      </c>
      <c r="Y5" s="100"/>
      <c r="Z5" s="107"/>
      <c r="AA5" s="107">
        <f t="shared" si="1"/>
        <v>38</v>
      </c>
      <c r="AB5" s="98">
        <v>1</v>
      </c>
      <c r="AC5" s="14">
        <v>1</v>
      </c>
      <c r="AD5" s="14">
        <v>1</v>
      </c>
      <c r="AE5" s="14">
        <v>1</v>
      </c>
      <c r="AF5" s="10">
        <v>1</v>
      </c>
      <c r="AG5" s="10">
        <v>1</v>
      </c>
      <c r="AH5" s="10">
        <v>1</v>
      </c>
      <c r="AI5" s="10">
        <v>1</v>
      </c>
      <c r="AJ5" s="14">
        <v>1</v>
      </c>
      <c r="AK5" s="14">
        <v>1</v>
      </c>
      <c r="AL5" s="14">
        <v>1</v>
      </c>
      <c r="AM5" s="14">
        <v>1</v>
      </c>
      <c r="AN5" s="10">
        <v>1</v>
      </c>
      <c r="AO5" s="10">
        <v>1</v>
      </c>
      <c r="AP5" s="10">
        <v>1</v>
      </c>
      <c r="AQ5" s="10">
        <v>1</v>
      </c>
      <c r="AR5" s="14">
        <v>1</v>
      </c>
      <c r="AS5" s="14">
        <v>1</v>
      </c>
      <c r="AT5" s="14">
        <v>1</v>
      </c>
      <c r="AU5" s="14">
        <v>1</v>
      </c>
      <c r="AV5" s="10">
        <v>1</v>
      </c>
      <c r="AW5" s="10">
        <v>1</v>
      </c>
      <c r="AX5" s="10">
        <v>1</v>
      </c>
      <c r="AY5" s="10">
        <v>1</v>
      </c>
      <c r="AZ5" s="14">
        <v>1</v>
      </c>
      <c r="BA5" s="14">
        <v>1</v>
      </c>
      <c r="BB5" s="14">
        <v>1</v>
      </c>
      <c r="BC5" s="14">
        <v>1</v>
      </c>
      <c r="BD5" s="10">
        <v>1</v>
      </c>
      <c r="BE5" s="10">
        <v>1</v>
      </c>
      <c r="BF5" s="10">
        <v>1</v>
      </c>
      <c r="BG5" s="10">
        <v>1</v>
      </c>
      <c r="BH5" s="14">
        <v>1</v>
      </c>
      <c r="BI5" s="14">
        <v>1</v>
      </c>
      <c r="BJ5" s="14">
        <v>1</v>
      </c>
      <c r="BK5" s="14">
        <v>1</v>
      </c>
      <c r="BL5" s="10">
        <v>1</v>
      </c>
      <c r="BM5" s="10">
        <v>1</v>
      </c>
      <c r="BN5" s="22">
        <f t="shared" si="2"/>
        <v>38</v>
      </c>
      <c r="BO5" s="9"/>
      <c r="BP5" s="10"/>
      <c r="BQ5" s="10"/>
      <c r="BR5" s="10"/>
      <c r="BS5" s="10"/>
      <c r="BT5" s="10"/>
      <c r="BU5" s="10"/>
      <c r="BV5" s="10"/>
      <c r="BW5" s="10"/>
      <c r="BX5" s="10"/>
      <c r="BY5" s="10"/>
      <c r="BZ5" s="10"/>
      <c r="CA5" s="10"/>
      <c r="CB5" s="10"/>
      <c r="CC5" s="10"/>
      <c r="CD5" s="10"/>
      <c r="CE5" s="10"/>
      <c r="CF5" s="10"/>
      <c r="CG5" s="10"/>
      <c r="CH5" s="10"/>
      <c r="CI5" s="22">
        <f t="shared" si="3"/>
        <v>0</v>
      </c>
      <c r="CJ5" s="22">
        <f t="shared" si="4"/>
        <v>38</v>
      </c>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c r="IX5" s="9"/>
      <c r="IY5" s="9"/>
      <c r="IZ5" s="9"/>
      <c r="JA5" s="9"/>
      <c r="JB5" s="9"/>
      <c r="JC5" s="9"/>
      <c r="JD5" s="9"/>
      <c r="JE5" s="9"/>
      <c r="JF5" s="9"/>
      <c r="JG5" s="9"/>
      <c r="JH5" s="9"/>
      <c r="JI5" s="9"/>
      <c r="JJ5" s="9"/>
      <c r="JK5" s="9"/>
      <c r="JL5" s="9"/>
      <c r="JM5" s="9"/>
      <c r="JN5" s="9"/>
      <c r="JO5" s="9"/>
      <c r="JP5" s="9"/>
      <c r="JQ5" s="9"/>
      <c r="JR5" s="9"/>
      <c r="JS5" s="9"/>
    </row>
    <row r="6" spans="1:279" s="3" customFormat="1" x14ac:dyDescent="0.25">
      <c r="A6" s="158">
        <v>4</v>
      </c>
      <c r="B6" s="112" t="s">
        <v>192</v>
      </c>
      <c r="C6" s="7" t="s">
        <v>18</v>
      </c>
      <c r="D6" s="7" t="s">
        <v>18</v>
      </c>
      <c r="E6" s="10"/>
      <c r="F6" s="35" t="s">
        <v>34</v>
      </c>
      <c r="G6" s="10"/>
      <c r="H6" s="64"/>
      <c r="I6" s="85"/>
      <c r="J6" s="81"/>
      <c r="K6" s="24"/>
      <c r="L6" s="23"/>
      <c r="M6" s="6"/>
      <c r="N6" s="6"/>
      <c r="O6" s="6"/>
      <c r="P6" s="6"/>
      <c r="Q6" s="6"/>
      <c r="R6" s="6"/>
      <c r="S6" s="6"/>
      <c r="T6" s="6"/>
      <c r="U6" s="66"/>
      <c r="V6" s="102" t="s">
        <v>6</v>
      </c>
      <c r="W6" s="74">
        <v>30</v>
      </c>
      <c r="X6" s="105">
        <f t="shared" si="0"/>
        <v>30</v>
      </c>
      <c r="Y6" s="100"/>
      <c r="Z6" s="107"/>
      <c r="AA6" s="107">
        <f t="shared" si="1"/>
        <v>30</v>
      </c>
      <c r="AB6" s="98">
        <v>10</v>
      </c>
      <c r="AC6" s="14">
        <v>10</v>
      </c>
      <c r="AD6" s="25">
        <v>10</v>
      </c>
      <c r="AE6" s="26"/>
      <c r="AF6" s="10"/>
      <c r="AG6" s="10"/>
      <c r="AH6" s="10"/>
      <c r="AI6" s="10"/>
      <c r="AJ6" s="14"/>
      <c r="AK6" s="14"/>
      <c r="AL6" s="14"/>
      <c r="AM6" s="14"/>
      <c r="AN6" s="10"/>
      <c r="AO6" s="10"/>
      <c r="AP6" s="10"/>
      <c r="AQ6" s="10"/>
      <c r="AR6" s="14"/>
      <c r="AS6" s="14"/>
      <c r="AT6" s="14"/>
      <c r="AU6" s="14"/>
      <c r="AV6" s="10"/>
      <c r="AW6" s="10"/>
      <c r="AX6" s="10"/>
      <c r="AY6" s="10"/>
      <c r="AZ6" s="14"/>
      <c r="BA6" s="14"/>
      <c r="BB6" s="14"/>
      <c r="BC6" s="14"/>
      <c r="BD6" s="10"/>
      <c r="BE6" s="10"/>
      <c r="BF6" s="10"/>
      <c r="BG6" s="10"/>
      <c r="BH6" s="14"/>
      <c r="BI6" s="14"/>
      <c r="BJ6" s="14"/>
      <c r="BK6" s="14"/>
      <c r="BL6" s="10"/>
      <c r="BM6" s="10"/>
      <c r="BN6" s="22">
        <f t="shared" si="2"/>
        <v>30</v>
      </c>
      <c r="BO6" s="9"/>
      <c r="BP6" s="10"/>
      <c r="BQ6" s="10"/>
      <c r="BR6" s="10"/>
      <c r="BS6" s="10"/>
      <c r="BT6" s="10"/>
      <c r="BU6" s="10"/>
      <c r="BV6" s="10"/>
      <c r="BW6" s="10"/>
      <c r="BX6" s="10"/>
      <c r="BY6" s="10"/>
      <c r="BZ6" s="10"/>
      <c r="CA6" s="10"/>
      <c r="CB6" s="10"/>
      <c r="CC6" s="10"/>
      <c r="CD6" s="10"/>
      <c r="CE6" s="10"/>
      <c r="CF6" s="10"/>
      <c r="CG6" s="10"/>
      <c r="CH6" s="10"/>
      <c r="CI6" s="22">
        <f t="shared" si="3"/>
        <v>0</v>
      </c>
      <c r="CJ6" s="22">
        <f t="shared" si="4"/>
        <v>30</v>
      </c>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c r="JA6" s="9"/>
      <c r="JB6" s="9"/>
      <c r="JC6" s="9"/>
      <c r="JD6" s="9"/>
      <c r="JE6" s="9"/>
      <c r="JF6" s="9"/>
      <c r="JG6" s="9"/>
      <c r="JH6" s="9"/>
      <c r="JI6" s="9"/>
      <c r="JJ6" s="9"/>
      <c r="JK6" s="9"/>
      <c r="JL6" s="9"/>
      <c r="JM6" s="9"/>
      <c r="JN6" s="9"/>
      <c r="JO6" s="9"/>
      <c r="JP6" s="9"/>
      <c r="JQ6" s="9"/>
      <c r="JR6" s="9"/>
      <c r="JS6" s="9"/>
    </row>
    <row r="7" spans="1:279" s="3" customFormat="1" ht="30" x14ac:dyDescent="0.25">
      <c r="A7" s="158">
        <v>5</v>
      </c>
      <c r="B7" s="113" t="s">
        <v>193</v>
      </c>
      <c r="C7" s="7" t="s">
        <v>18</v>
      </c>
      <c r="D7" s="7" t="s">
        <v>18</v>
      </c>
      <c r="E7" s="10"/>
      <c r="F7" s="35" t="s">
        <v>108</v>
      </c>
      <c r="G7" s="10"/>
      <c r="H7" s="64"/>
      <c r="I7" s="83"/>
      <c r="J7" s="79"/>
      <c r="K7" s="6"/>
      <c r="L7" s="23"/>
      <c r="M7" s="23"/>
      <c r="N7" s="6"/>
      <c r="O7" s="6"/>
      <c r="P7" s="6"/>
      <c r="Q7" s="6"/>
      <c r="R7" s="6"/>
      <c r="S7" s="6"/>
      <c r="T7" s="6"/>
      <c r="U7" s="66"/>
      <c r="V7" s="101" t="s">
        <v>1</v>
      </c>
      <c r="W7" s="74">
        <v>20</v>
      </c>
      <c r="X7" s="105">
        <f t="shared" si="0"/>
        <v>20</v>
      </c>
      <c r="Y7" s="100"/>
      <c r="Z7" s="107"/>
      <c r="AA7" s="107">
        <f t="shared" si="1"/>
        <v>20</v>
      </c>
      <c r="AB7" s="98">
        <v>10</v>
      </c>
      <c r="AC7" s="27">
        <v>10</v>
      </c>
      <c r="AD7" s="14"/>
      <c r="AE7" s="14"/>
      <c r="AF7" s="10"/>
      <c r="AG7" s="10"/>
      <c r="AH7" s="10"/>
      <c r="AI7" s="10"/>
      <c r="AJ7" s="14"/>
      <c r="AK7" s="14"/>
      <c r="AL7" s="14"/>
      <c r="AM7" s="14"/>
      <c r="AN7" s="10"/>
      <c r="AO7" s="10"/>
      <c r="AP7" s="10"/>
      <c r="AQ7" s="10"/>
      <c r="AR7" s="14"/>
      <c r="AS7" s="14"/>
      <c r="AT7" s="14"/>
      <c r="AU7" s="14"/>
      <c r="AV7" s="10"/>
      <c r="AW7" s="10"/>
      <c r="AX7" s="10"/>
      <c r="AY7" s="10"/>
      <c r="AZ7" s="14"/>
      <c r="BA7" s="14"/>
      <c r="BB7" s="14"/>
      <c r="BC7" s="14"/>
      <c r="BD7" s="10"/>
      <c r="BE7" s="10"/>
      <c r="BF7" s="10"/>
      <c r="BG7" s="10"/>
      <c r="BH7" s="14"/>
      <c r="BI7" s="14"/>
      <c r="BJ7" s="14"/>
      <c r="BK7" s="14"/>
      <c r="BL7" s="10"/>
      <c r="BM7" s="10"/>
      <c r="BN7" s="22">
        <f t="shared" si="2"/>
        <v>20</v>
      </c>
      <c r="BO7" s="9"/>
      <c r="BP7" s="10"/>
      <c r="BQ7" s="10"/>
      <c r="BR7" s="10"/>
      <c r="BS7" s="10"/>
      <c r="BT7" s="10"/>
      <c r="BU7" s="10"/>
      <c r="BV7" s="10"/>
      <c r="BW7" s="10"/>
      <c r="BX7" s="10"/>
      <c r="BY7" s="10"/>
      <c r="BZ7" s="10"/>
      <c r="CA7" s="10"/>
      <c r="CB7" s="10"/>
      <c r="CC7" s="10"/>
      <c r="CD7" s="10"/>
      <c r="CE7" s="10"/>
      <c r="CF7" s="10"/>
      <c r="CG7" s="10"/>
      <c r="CH7" s="10"/>
      <c r="CI7" s="22">
        <f t="shared" si="3"/>
        <v>0</v>
      </c>
      <c r="CJ7" s="22">
        <f t="shared" si="4"/>
        <v>20</v>
      </c>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c r="IY7" s="9"/>
      <c r="IZ7" s="9"/>
      <c r="JA7" s="9"/>
      <c r="JB7" s="9"/>
      <c r="JC7" s="9"/>
      <c r="JD7" s="9"/>
      <c r="JE7" s="9"/>
      <c r="JF7" s="9"/>
      <c r="JG7" s="9"/>
      <c r="JH7" s="9"/>
      <c r="JI7" s="9"/>
      <c r="JJ7" s="9"/>
      <c r="JK7" s="9"/>
      <c r="JL7" s="9"/>
      <c r="JM7" s="9"/>
      <c r="JN7" s="9"/>
      <c r="JO7" s="9"/>
      <c r="JP7" s="9"/>
      <c r="JQ7" s="9"/>
      <c r="JR7" s="9"/>
      <c r="JS7" s="9"/>
    </row>
    <row r="8" spans="1:279" s="3" customFormat="1" ht="14.25" customHeight="1" x14ac:dyDescent="0.2">
      <c r="A8" s="158">
        <v>5</v>
      </c>
      <c r="B8" s="113" t="s">
        <v>103</v>
      </c>
      <c r="C8" s="7" t="s">
        <v>18</v>
      </c>
      <c r="D8" s="7" t="s">
        <v>18</v>
      </c>
      <c r="E8" s="10"/>
      <c r="F8" s="34" t="s">
        <v>111</v>
      </c>
      <c r="G8" s="10"/>
      <c r="H8" s="64"/>
      <c r="I8" s="83"/>
      <c r="J8" s="79"/>
      <c r="K8" s="6"/>
      <c r="L8" s="23"/>
      <c r="M8" s="23"/>
      <c r="N8" s="6"/>
      <c r="O8" s="6"/>
      <c r="P8" s="6"/>
      <c r="Q8" s="6"/>
      <c r="R8" s="6"/>
      <c r="S8" s="6"/>
      <c r="T8" s="6"/>
      <c r="U8" s="66"/>
      <c r="V8" s="101" t="s">
        <v>105</v>
      </c>
      <c r="W8" s="74">
        <v>20</v>
      </c>
      <c r="X8" s="105">
        <f t="shared" si="0"/>
        <v>20</v>
      </c>
      <c r="Y8" s="100"/>
      <c r="Z8" s="107"/>
      <c r="AA8" s="107">
        <f t="shared" si="1"/>
        <v>20</v>
      </c>
      <c r="AB8" s="98">
        <v>10</v>
      </c>
      <c r="AC8" s="27">
        <v>10</v>
      </c>
      <c r="AD8" s="14"/>
      <c r="AE8" s="14"/>
      <c r="AF8" s="10"/>
      <c r="AG8" s="10"/>
      <c r="AH8" s="10"/>
      <c r="AI8" s="10"/>
      <c r="AJ8" s="14"/>
      <c r="AK8" s="14"/>
      <c r="AL8" s="14"/>
      <c r="AM8" s="14"/>
      <c r="AN8" s="10"/>
      <c r="AO8" s="10"/>
      <c r="AP8" s="10"/>
      <c r="AQ8" s="10"/>
      <c r="AR8" s="14"/>
      <c r="AS8" s="14"/>
      <c r="AT8" s="14"/>
      <c r="AU8" s="14"/>
      <c r="AV8" s="10"/>
      <c r="AW8" s="10"/>
      <c r="AX8" s="10"/>
      <c r="AY8" s="10"/>
      <c r="AZ8" s="14"/>
      <c r="BA8" s="14"/>
      <c r="BB8" s="14"/>
      <c r="BC8" s="14"/>
      <c r="BD8" s="10"/>
      <c r="BE8" s="10"/>
      <c r="BF8" s="10"/>
      <c r="BG8" s="10"/>
      <c r="BH8" s="14"/>
      <c r="BI8" s="14"/>
      <c r="BJ8" s="14"/>
      <c r="BK8" s="14"/>
      <c r="BL8" s="10"/>
      <c r="BM8" s="10"/>
      <c r="BN8" s="22">
        <f t="shared" si="2"/>
        <v>20</v>
      </c>
      <c r="BO8" s="9"/>
      <c r="BP8" s="10"/>
      <c r="BQ8" s="10"/>
      <c r="BR8" s="10"/>
      <c r="BS8" s="10"/>
      <c r="BT8" s="10"/>
      <c r="BU8" s="10"/>
      <c r="BV8" s="10"/>
      <c r="BW8" s="10"/>
      <c r="BX8" s="10"/>
      <c r="BY8" s="10"/>
      <c r="BZ8" s="10"/>
      <c r="CA8" s="10"/>
      <c r="CB8" s="10"/>
      <c r="CC8" s="10"/>
      <c r="CD8" s="10"/>
      <c r="CE8" s="10"/>
      <c r="CF8" s="10"/>
      <c r="CG8" s="10"/>
      <c r="CH8" s="10"/>
      <c r="CI8" s="22">
        <f t="shared" si="3"/>
        <v>0</v>
      </c>
      <c r="CJ8" s="22">
        <f t="shared" si="4"/>
        <v>20</v>
      </c>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c r="IX8" s="9"/>
      <c r="IY8" s="9"/>
      <c r="IZ8" s="9"/>
      <c r="JA8" s="9"/>
      <c r="JB8" s="9"/>
      <c r="JC8" s="9"/>
      <c r="JD8" s="9"/>
      <c r="JE8" s="9"/>
      <c r="JF8" s="9"/>
      <c r="JG8" s="9"/>
      <c r="JH8" s="9"/>
      <c r="JI8" s="9"/>
      <c r="JJ8" s="9"/>
      <c r="JK8" s="9"/>
      <c r="JL8" s="9"/>
      <c r="JM8" s="9"/>
      <c r="JN8" s="9"/>
      <c r="JO8" s="9"/>
      <c r="JP8" s="9"/>
      <c r="JQ8" s="9"/>
      <c r="JR8" s="9"/>
      <c r="JS8" s="9"/>
    </row>
    <row r="9" spans="1:279" s="3" customFormat="1" x14ac:dyDescent="0.25">
      <c r="A9" s="158">
        <v>6</v>
      </c>
      <c r="B9" s="114" t="s">
        <v>3</v>
      </c>
      <c r="C9" s="127" t="s">
        <v>18</v>
      </c>
      <c r="D9" s="7" t="s">
        <v>18</v>
      </c>
      <c r="E9" s="10"/>
      <c r="F9" s="35" t="s">
        <v>112</v>
      </c>
      <c r="G9" s="10"/>
      <c r="H9" s="64"/>
      <c r="I9" s="83"/>
      <c r="J9" s="79"/>
      <c r="K9" s="23"/>
      <c r="L9" s="6"/>
      <c r="M9" s="6"/>
      <c r="N9" s="6"/>
      <c r="O9" s="6"/>
      <c r="P9" s="6"/>
      <c r="Q9" s="6"/>
      <c r="R9" s="6"/>
      <c r="S9" s="6"/>
      <c r="T9" s="6"/>
      <c r="U9" s="66"/>
      <c r="V9" s="101" t="s">
        <v>1</v>
      </c>
      <c r="W9" s="74">
        <v>10</v>
      </c>
      <c r="X9" s="105">
        <f t="shared" si="0"/>
        <v>10</v>
      </c>
      <c r="Y9" s="100"/>
      <c r="Z9" s="107"/>
      <c r="AA9" s="107">
        <f t="shared" si="1"/>
        <v>10</v>
      </c>
      <c r="AB9" s="98"/>
      <c r="AC9" s="14"/>
      <c r="AD9" s="15">
        <v>10</v>
      </c>
      <c r="AE9" s="28"/>
      <c r="AF9" s="10"/>
      <c r="AG9" s="10"/>
      <c r="AH9" s="10"/>
      <c r="AI9" s="10"/>
      <c r="AJ9" s="14"/>
      <c r="AK9" s="14"/>
      <c r="AL9" s="14"/>
      <c r="AM9" s="14"/>
      <c r="AN9" s="10"/>
      <c r="AO9" s="10"/>
      <c r="AP9" s="10"/>
      <c r="AQ9" s="10"/>
      <c r="AR9" s="14"/>
      <c r="AS9" s="14"/>
      <c r="AT9" s="14"/>
      <c r="AU9" s="14"/>
      <c r="AV9" s="10"/>
      <c r="AW9" s="10"/>
      <c r="AX9" s="10"/>
      <c r="AY9" s="10"/>
      <c r="AZ9" s="14"/>
      <c r="BA9" s="14"/>
      <c r="BB9" s="14"/>
      <c r="BC9" s="14"/>
      <c r="BD9" s="10"/>
      <c r="BE9" s="10"/>
      <c r="BF9" s="10"/>
      <c r="BG9" s="10"/>
      <c r="BH9" s="14"/>
      <c r="BI9" s="14"/>
      <c r="BJ9" s="14"/>
      <c r="BK9" s="14"/>
      <c r="BL9" s="10"/>
      <c r="BM9" s="10"/>
      <c r="BN9" s="22">
        <f t="shared" si="2"/>
        <v>10</v>
      </c>
      <c r="BO9" s="9"/>
      <c r="BP9" s="10"/>
      <c r="BQ9" s="10"/>
      <c r="BR9" s="10"/>
      <c r="BS9" s="10"/>
      <c r="BT9" s="10"/>
      <c r="BU9" s="10"/>
      <c r="BV9" s="10"/>
      <c r="BW9" s="10"/>
      <c r="BX9" s="10"/>
      <c r="BY9" s="10"/>
      <c r="BZ9" s="10"/>
      <c r="CA9" s="10"/>
      <c r="CB9" s="10"/>
      <c r="CC9" s="10"/>
      <c r="CD9" s="10"/>
      <c r="CE9" s="10"/>
      <c r="CF9" s="10"/>
      <c r="CG9" s="10"/>
      <c r="CH9" s="10"/>
      <c r="CI9" s="22">
        <f t="shared" si="3"/>
        <v>0</v>
      </c>
      <c r="CJ9" s="22">
        <f t="shared" si="4"/>
        <v>10</v>
      </c>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c r="JA9" s="9"/>
      <c r="JB9" s="9"/>
      <c r="JC9" s="9"/>
      <c r="JD9" s="9"/>
      <c r="JE9" s="9"/>
      <c r="JF9" s="9"/>
      <c r="JG9" s="9"/>
      <c r="JH9" s="9"/>
      <c r="JI9" s="9"/>
      <c r="JJ9" s="9"/>
      <c r="JK9" s="9"/>
      <c r="JL9" s="9"/>
      <c r="JM9" s="9"/>
      <c r="JN9" s="9"/>
      <c r="JO9" s="9"/>
      <c r="JP9" s="9"/>
      <c r="JQ9" s="9"/>
      <c r="JR9" s="9"/>
      <c r="JS9" s="9"/>
    </row>
    <row r="10" spans="1:279" s="3" customFormat="1" x14ac:dyDescent="0.25">
      <c r="A10" s="158">
        <v>7</v>
      </c>
      <c r="B10" s="115" t="s">
        <v>194</v>
      </c>
      <c r="C10" s="127" t="s">
        <v>18</v>
      </c>
      <c r="D10" s="7" t="s">
        <v>18</v>
      </c>
      <c r="E10" s="10"/>
      <c r="F10" s="35" t="s">
        <v>113</v>
      </c>
      <c r="G10" s="10"/>
      <c r="H10" s="64"/>
      <c r="I10" s="83"/>
      <c r="J10" s="79"/>
      <c r="K10" s="6"/>
      <c r="L10" s="23"/>
      <c r="M10" s="23"/>
      <c r="N10" s="6"/>
      <c r="O10" s="6"/>
      <c r="P10" s="6"/>
      <c r="Q10" s="6"/>
      <c r="R10" s="6"/>
      <c r="S10" s="6"/>
      <c r="T10" s="6"/>
      <c r="U10" s="66"/>
      <c r="V10" s="101" t="s">
        <v>1</v>
      </c>
      <c r="W10" s="74" t="s">
        <v>118</v>
      </c>
      <c r="X10" s="105">
        <f t="shared" si="0"/>
        <v>10</v>
      </c>
      <c r="Y10" s="100"/>
      <c r="Z10" s="107"/>
      <c r="AA10" s="107">
        <f t="shared" si="1"/>
        <v>10</v>
      </c>
      <c r="AB10" s="98"/>
      <c r="AC10" s="14"/>
      <c r="AD10" s="14"/>
      <c r="AE10" s="14">
        <v>4</v>
      </c>
      <c r="AF10" s="14">
        <v>4</v>
      </c>
      <c r="AG10" s="15">
        <v>2</v>
      </c>
      <c r="AH10" s="10"/>
      <c r="AI10" s="10"/>
      <c r="AJ10" s="14"/>
      <c r="AK10" s="14"/>
      <c r="AL10" s="14"/>
      <c r="AM10" s="14"/>
      <c r="AN10" s="10"/>
      <c r="AO10" s="10"/>
      <c r="AP10" s="10"/>
      <c r="AQ10" s="10"/>
      <c r="AR10" s="14"/>
      <c r="AS10" s="14"/>
      <c r="AT10" s="14"/>
      <c r="AU10" s="14"/>
      <c r="AV10" s="10"/>
      <c r="AW10" s="10"/>
      <c r="AX10" s="10"/>
      <c r="AY10" s="10"/>
      <c r="AZ10" s="14"/>
      <c r="BA10" s="14"/>
      <c r="BB10" s="14"/>
      <c r="BC10" s="14"/>
      <c r="BD10" s="10"/>
      <c r="BE10" s="10"/>
      <c r="BF10" s="10"/>
      <c r="BG10" s="10"/>
      <c r="BH10" s="14"/>
      <c r="BI10" s="14"/>
      <c r="BJ10" s="14"/>
      <c r="BK10" s="14"/>
      <c r="BL10" s="10"/>
      <c r="BM10" s="10"/>
      <c r="BN10" s="22">
        <f t="shared" si="2"/>
        <v>10</v>
      </c>
      <c r="BO10" s="9"/>
      <c r="BP10" s="10"/>
      <c r="BQ10" s="10"/>
      <c r="BR10" s="10"/>
      <c r="BS10" s="10"/>
      <c r="BT10" s="10"/>
      <c r="BU10" s="10"/>
      <c r="BV10" s="10"/>
      <c r="BW10" s="10"/>
      <c r="BX10" s="10"/>
      <c r="BY10" s="10"/>
      <c r="BZ10" s="10"/>
      <c r="CA10" s="10"/>
      <c r="CB10" s="10"/>
      <c r="CC10" s="10"/>
      <c r="CD10" s="10"/>
      <c r="CE10" s="10"/>
      <c r="CF10" s="10"/>
      <c r="CG10" s="10"/>
      <c r="CH10" s="10"/>
      <c r="CI10" s="22">
        <f t="shared" si="3"/>
        <v>0</v>
      </c>
      <c r="CJ10" s="22">
        <f t="shared" si="4"/>
        <v>10</v>
      </c>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c r="FO10" s="9"/>
      <c r="FP10" s="9"/>
      <c r="FQ10" s="9"/>
      <c r="FR10" s="9"/>
      <c r="FS10" s="9"/>
      <c r="FT10" s="9"/>
      <c r="FU10" s="9"/>
      <c r="FV10" s="9"/>
      <c r="FW10" s="9"/>
      <c r="FX10" s="9"/>
      <c r="FY10" s="9"/>
      <c r="FZ10" s="9"/>
      <c r="GA10" s="9"/>
      <c r="GB10" s="9"/>
      <c r="GC10" s="9"/>
      <c r="GD10" s="9"/>
      <c r="GE10" s="9"/>
      <c r="GF10" s="9"/>
      <c r="GG10" s="9"/>
      <c r="GH10" s="9"/>
      <c r="GI10" s="9"/>
      <c r="GJ10" s="9"/>
      <c r="GK10" s="9"/>
      <c r="GL10" s="9"/>
      <c r="GM10" s="9"/>
      <c r="GN10" s="9"/>
      <c r="GO10" s="9"/>
      <c r="GP10" s="9"/>
      <c r="GQ10" s="9"/>
      <c r="GR10" s="9"/>
      <c r="GS10" s="9"/>
      <c r="GT10" s="9"/>
      <c r="GU10" s="9"/>
      <c r="GV10" s="9"/>
      <c r="GW10" s="9"/>
      <c r="GX10" s="9"/>
      <c r="GY10" s="9"/>
      <c r="GZ10" s="9"/>
      <c r="HA10" s="9"/>
      <c r="HB10" s="9"/>
      <c r="HC10" s="9"/>
      <c r="HD10" s="9"/>
      <c r="HE10" s="9"/>
      <c r="HF10" s="9"/>
      <c r="HG10" s="9"/>
      <c r="HH10" s="9"/>
      <c r="HI10" s="9"/>
      <c r="HJ10" s="9"/>
      <c r="HK10" s="9"/>
      <c r="HL10" s="9"/>
      <c r="HM10" s="9"/>
      <c r="HN10" s="9"/>
      <c r="HO10" s="9"/>
      <c r="HP10" s="9"/>
      <c r="HQ10" s="9"/>
      <c r="HR10" s="9"/>
      <c r="HS10" s="9"/>
      <c r="HT10" s="9"/>
      <c r="HU10" s="9"/>
      <c r="HV10" s="9"/>
      <c r="HW10" s="9"/>
      <c r="HX10" s="9"/>
      <c r="HY10" s="9"/>
      <c r="HZ10" s="9"/>
      <c r="IA10" s="9"/>
      <c r="IB10" s="9"/>
      <c r="IC10" s="9"/>
      <c r="ID10" s="9"/>
      <c r="IE10" s="9"/>
      <c r="IF10" s="9"/>
      <c r="IG10" s="9"/>
      <c r="IH10" s="9"/>
      <c r="II10" s="9"/>
      <c r="IJ10" s="9"/>
      <c r="IK10" s="9"/>
      <c r="IL10" s="9"/>
      <c r="IM10" s="9"/>
      <c r="IN10" s="9"/>
      <c r="IO10" s="9"/>
      <c r="IP10" s="9"/>
      <c r="IQ10" s="9"/>
      <c r="IR10" s="9"/>
      <c r="IS10" s="9"/>
      <c r="IT10" s="9"/>
      <c r="IU10" s="9"/>
      <c r="IV10" s="9"/>
      <c r="IW10" s="9"/>
      <c r="IX10" s="9"/>
      <c r="IY10" s="9"/>
      <c r="IZ10" s="9"/>
      <c r="JA10" s="9"/>
      <c r="JB10" s="9"/>
      <c r="JC10" s="9"/>
      <c r="JD10" s="9"/>
      <c r="JE10" s="9"/>
      <c r="JF10" s="9"/>
      <c r="JG10" s="9"/>
      <c r="JH10" s="9"/>
      <c r="JI10" s="9"/>
      <c r="JJ10" s="9"/>
      <c r="JK10" s="9"/>
      <c r="JL10" s="9"/>
      <c r="JM10" s="9"/>
      <c r="JN10" s="9"/>
      <c r="JO10" s="9"/>
      <c r="JP10" s="9"/>
      <c r="JQ10" s="9"/>
      <c r="JR10" s="9"/>
      <c r="JS10" s="9"/>
    </row>
    <row r="11" spans="1:279" s="3" customFormat="1" x14ac:dyDescent="0.25">
      <c r="A11" s="158">
        <v>8</v>
      </c>
      <c r="B11" s="116" t="s">
        <v>195</v>
      </c>
      <c r="C11" s="127" t="s">
        <v>18</v>
      </c>
      <c r="D11" s="7" t="s">
        <v>18</v>
      </c>
      <c r="E11" s="10"/>
      <c r="F11" s="35"/>
      <c r="G11" s="10"/>
      <c r="H11" s="64"/>
      <c r="I11" s="84"/>
      <c r="J11" s="65"/>
      <c r="K11" s="4"/>
      <c r="L11" s="23"/>
      <c r="M11" s="4"/>
      <c r="N11" s="23"/>
      <c r="O11" s="4"/>
      <c r="P11" s="4"/>
      <c r="Q11" s="4"/>
      <c r="R11" s="4"/>
      <c r="S11" s="4"/>
      <c r="T11" s="23"/>
      <c r="U11" s="67"/>
      <c r="V11" s="101" t="s">
        <v>186</v>
      </c>
      <c r="W11" s="74" t="s">
        <v>118</v>
      </c>
      <c r="X11" s="105">
        <f t="shared" si="0"/>
        <v>66</v>
      </c>
      <c r="Y11" s="100"/>
      <c r="Z11" s="107"/>
      <c r="AA11" s="107">
        <f t="shared" si="1"/>
        <v>66</v>
      </c>
      <c r="AB11" s="98"/>
      <c r="AC11" s="14"/>
      <c r="AD11" s="14">
        <v>10</v>
      </c>
      <c r="AE11" s="14">
        <v>16</v>
      </c>
      <c r="AF11" s="10">
        <v>16</v>
      </c>
      <c r="AG11" s="10">
        <v>10</v>
      </c>
      <c r="AH11" s="10">
        <v>10</v>
      </c>
      <c r="AI11" s="15">
        <v>4</v>
      </c>
      <c r="AJ11" s="14"/>
      <c r="AK11" s="14"/>
      <c r="AL11" s="14"/>
      <c r="AM11" s="14"/>
      <c r="AN11" s="10"/>
      <c r="AO11" s="10"/>
      <c r="AP11" s="10"/>
      <c r="AQ11" s="10"/>
      <c r="AR11" s="14"/>
      <c r="AS11" s="14"/>
      <c r="AT11" s="14"/>
      <c r="AU11" s="14"/>
      <c r="AV11" s="10"/>
      <c r="AW11" s="10"/>
      <c r="AX11" s="10"/>
      <c r="AY11" s="10"/>
      <c r="AZ11" s="14"/>
      <c r="BA11" s="14"/>
      <c r="BB11" s="14"/>
      <c r="BC11" s="14"/>
      <c r="BD11" s="10"/>
      <c r="BE11" s="10"/>
      <c r="BF11" s="10"/>
      <c r="BG11" s="10"/>
      <c r="BH11" s="14"/>
      <c r="BI11" s="14"/>
      <c r="BJ11" s="14"/>
      <c r="BK11" s="14"/>
      <c r="BL11" s="10"/>
      <c r="BM11" s="10"/>
      <c r="BN11" s="22">
        <f t="shared" si="2"/>
        <v>66</v>
      </c>
      <c r="BO11" s="9"/>
      <c r="BP11" s="10"/>
      <c r="BQ11" s="10"/>
      <c r="BR11" s="10"/>
      <c r="BS11" s="10"/>
      <c r="BT11" s="10"/>
      <c r="BU11" s="10"/>
      <c r="BV11" s="10"/>
      <c r="BW11" s="10"/>
      <c r="BX11" s="10"/>
      <c r="BY11" s="10"/>
      <c r="BZ11" s="10"/>
      <c r="CA11" s="10"/>
      <c r="CB11" s="10"/>
      <c r="CC11" s="10"/>
      <c r="CD11" s="10"/>
      <c r="CE11" s="10"/>
      <c r="CF11" s="10"/>
      <c r="CG11" s="10"/>
      <c r="CH11" s="10"/>
      <c r="CI11" s="22">
        <f t="shared" si="3"/>
        <v>0</v>
      </c>
      <c r="CJ11" s="22">
        <f t="shared" si="4"/>
        <v>66</v>
      </c>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c r="IW11" s="9"/>
      <c r="IX11" s="9"/>
      <c r="IY11" s="9"/>
      <c r="IZ11" s="9"/>
      <c r="JA11" s="9"/>
      <c r="JB11" s="9"/>
      <c r="JC11" s="9"/>
      <c r="JD11" s="9"/>
      <c r="JE11" s="9"/>
      <c r="JF11" s="9"/>
      <c r="JG11" s="9"/>
      <c r="JH11" s="9"/>
      <c r="JI11" s="9"/>
      <c r="JJ11" s="9"/>
      <c r="JK11" s="9"/>
      <c r="JL11" s="9"/>
      <c r="JM11" s="9"/>
      <c r="JN11" s="9"/>
      <c r="JO11" s="9"/>
      <c r="JP11" s="9"/>
      <c r="JQ11" s="9"/>
      <c r="JR11" s="9"/>
      <c r="JS11" s="9"/>
    </row>
    <row r="12" spans="1:279" s="3" customFormat="1" ht="30" x14ac:dyDescent="0.25">
      <c r="A12" s="158">
        <v>9</v>
      </c>
      <c r="B12" s="116" t="s">
        <v>196</v>
      </c>
      <c r="C12" s="127" t="s">
        <v>18</v>
      </c>
      <c r="D12" s="7" t="s">
        <v>18</v>
      </c>
      <c r="E12" s="10"/>
      <c r="F12" s="35"/>
      <c r="G12" s="10"/>
      <c r="H12" s="64"/>
      <c r="I12" s="83"/>
      <c r="J12" s="79"/>
      <c r="K12" s="6"/>
      <c r="L12" s="6"/>
      <c r="M12" s="6"/>
      <c r="N12" s="23"/>
      <c r="O12" s="23"/>
      <c r="P12" s="23"/>
      <c r="Q12" s="23"/>
      <c r="R12" s="23"/>
      <c r="S12" s="23"/>
      <c r="T12" s="23"/>
      <c r="U12" s="68"/>
      <c r="V12" s="101" t="s">
        <v>5</v>
      </c>
      <c r="W12" s="74" t="s">
        <v>118</v>
      </c>
      <c r="X12" s="105">
        <f t="shared" si="0"/>
        <v>24</v>
      </c>
      <c r="Y12" s="100"/>
      <c r="Z12" s="107"/>
      <c r="AA12" s="107">
        <f t="shared" si="1"/>
        <v>24</v>
      </c>
      <c r="AB12" s="98"/>
      <c r="AC12" s="14"/>
      <c r="AD12" s="14"/>
      <c r="AE12" s="14">
        <v>10</v>
      </c>
      <c r="AF12" s="10">
        <v>10</v>
      </c>
      <c r="AG12" s="15">
        <v>4</v>
      </c>
      <c r="AH12" s="10"/>
      <c r="AI12" s="10"/>
      <c r="AJ12" s="14"/>
      <c r="AK12" s="14"/>
      <c r="AL12" s="14"/>
      <c r="AM12" s="14"/>
      <c r="AN12" s="10"/>
      <c r="AO12" s="10"/>
      <c r="AP12" s="10"/>
      <c r="AQ12" s="10"/>
      <c r="AR12" s="14"/>
      <c r="AS12" s="14"/>
      <c r="AT12" s="14"/>
      <c r="AU12" s="14"/>
      <c r="AV12" s="10"/>
      <c r="AW12" s="10"/>
      <c r="AX12" s="10"/>
      <c r="AY12" s="10"/>
      <c r="AZ12" s="14"/>
      <c r="BA12" s="14"/>
      <c r="BB12" s="14"/>
      <c r="BC12" s="14"/>
      <c r="BD12" s="10"/>
      <c r="BE12" s="10"/>
      <c r="BF12" s="10"/>
      <c r="BG12" s="10"/>
      <c r="BH12" s="14"/>
      <c r="BI12" s="14"/>
      <c r="BJ12" s="14"/>
      <c r="BK12" s="14"/>
      <c r="BL12" s="10"/>
      <c r="BM12" s="10"/>
      <c r="BN12" s="22">
        <f t="shared" si="2"/>
        <v>24</v>
      </c>
      <c r="BO12" s="9"/>
      <c r="BP12" s="10"/>
      <c r="BQ12" s="10"/>
      <c r="BR12" s="10"/>
      <c r="BS12" s="10"/>
      <c r="BT12" s="10"/>
      <c r="BU12" s="10"/>
      <c r="BV12" s="10"/>
      <c r="BW12" s="10"/>
      <c r="BX12" s="10"/>
      <c r="BY12" s="10"/>
      <c r="BZ12" s="10"/>
      <c r="CA12" s="10"/>
      <c r="CB12" s="10"/>
      <c r="CC12" s="10"/>
      <c r="CD12" s="10"/>
      <c r="CE12" s="10"/>
      <c r="CF12" s="10"/>
      <c r="CG12" s="10"/>
      <c r="CH12" s="10"/>
      <c r="CI12" s="22">
        <f t="shared" si="3"/>
        <v>0</v>
      </c>
      <c r="CJ12" s="22">
        <f t="shared" si="4"/>
        <v>24</v>
      </c>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9"/>
      <c r="GB12" s="9"/>
      <c r="GC12" s="9"/>
      <c r="GD12" s="9"/>
      <c r="GE12" s="9"/>
      <c r="GF12" s="9"/>
      <c r="GG12" s="9"/>
      <c r="GH12" s="9"/>
      <c r="GI12" s="9"/>
      <c r="GJ12" s="9"/>
      <c r="GK12" s="9"/>
      <c r="GL12" s="9"/>
      <c r="GM12" s="9"/>
      <c r="GN12" s="9"/>
      <c r="GO12" s="9"/>
      <c r="GP12" s="9"/>
      <c r="GQ12" s="9"/>
      <c r="GR12" s="9"/>
      <c r="GS12" s="9"/>
      <c r="GT12" s="9"/>
      <c r="GU12" s="9"/>
      <c r="GV12" s="9"/>
      <c r="GW12" s="9"/>
      <c r="GX12" s="9"/>
      <c r="GY12" s="9"/>
      <c r="GZ12" s="9"/>
      <c r="HA12" s="9"/>
      <c r="HB12" s="9"/>
      <c r="HC12" s="9"/>
      <c r="HD12" s="9"/>
      <c r="HE12" s="9"/>
      <c r="HF12" s="9"/>
      <c r="HG12" s="9"/>
      <c r="HH12" s="9"/>
      <c r="HI12" s="9"/>
      <c r="HJ12" s="9"/>
      <c r="HK12" s="9"/>
      <c r="HL12" s="9"/>
      <c r="HM12" s="9"/>
      <c r="HN12" s="9"/>
      <c r="HO12" s="9"/>
      <c r="HP12" s="9"/>
      <c r="HQ12" s="9"/>
      <c r="HR12" s="9"/>
      <c r="HS12" s="9"/>
      <c r="HT12" s="9"/>
      <c r="HU12" s="9"/>
      <c r="HV12" s="9"/>
      <c r="HW12" s="9"/>
      <c r="HX12" s="9"/>
      <c r="HY12" s="9"/>
      <c r="HZ12" s="9"/>
      <c r="IA12" s="9"/>
      <c r="IB12" s="9"/>
      <c r="IC12" s="9"/>
      <c r="ID12" s="9"/>
      <c r="IE12" s="9"/>
      <c r="IF12" s="9"/>
      <c r="IG12" s="9"/>
      <c r="IH12" s="9"/>
      <c r="II12" s="9"/>
      <c r="IJ12" s="9"/>
      <c r="IK12" s="9"/>
      <c r="IL12" s="9"/>
      <c r="IM12" s="9"/>
      <c r="IN12" s="9"/>
      <c r="IO12" s="9"/>
      <c r="IP12" s="9"/>
      <c r="IQ12" s="9"/>
      <c r="IR12" s="9"/>
      <c r="IS12" s="9"/>
      <c r="IT12" s="9"/>
      <c r="IU12" s="9"/>
      <c r="IV12" s="9"/>
      <c r="IW12" s="9"/>
      <c r="IX12" s="9"/>
      <c r="IY12" s="9"/>
      <c r="IZ12" s="9"/>
      <c r="JA12" s="9"/>
      <c r="JB12" s="9"/>
      <c r="JC12" s="9"/>
      <c r="JD12" s="9"/>
      <c r="JE12" s="9"/>
      <c r="JF12" s="9"/>
      <c r="JG12" s="9"/>
      <c r="JH12" s="9"/>
      <c r="JI12" s="9"/>
      <c r="JJ12" s="9"/>
      <c r="JK12" s="9"/>
      <c r="JL12" s="9"/>
      <c r="JM12" s="9"/>
      <c r="JN12" s="9"/>
      <c r="JO12" s="9"/>
      <c r="JP12" s="9"/>
      <c r="JQ12" s="9"/>
      <c r="JR12" s="9"/>
      <c r="JS12" s="9"/>
    </row>
    <row r="13" spans="1:279" s="3" customFormat="1" x14ac:dyDescent="0.25">
      <c r="A13" s="158">
        <v>10</v>
      </c>
      <c r="B13" s="117" t="s">
        <v>197</v>
      </c>
      <c r="C13" s="127" t="s">
        <v>18</v>
      </c>
      <c r="D13" s="5" t="s">
        <v>20</v>
      </c>
      <c r="E13" s="10"/>
      <c r="F13" s="35"/>
      <c r="G13" s="10"/>
      <c r="H13" s="64"/>
      <c r="I13" s="84"/>
      <c r="J13" s="65"/>
      <c r="K13" s="4"/>
      <c r="L13" s="4"/>
      <c r="M13" s="4"/>
      <c r="N13" s="23"/>
      <c r="O13" s="23"/>
      <c r="P13" s="4"/>
      <c r="Q13" s="4"/>
      <c r="R13" s="4"/>
      <c r="S13" s="4"/>
      <c r="T13" s="4"/>
      <c r="U13" s="67"/>
      <c r="V13" s="102" t="s">
        <v>6</v>
      </c>
      <c r="W13" s="74">
        <v>40</v>
      </c>
      <c r="X13" s="105">
        <f t="shared" si="0"/>
        <v>40</v>
      </c>
      <c r="Y13" s="100"/>
      <c r="Z13" s="107"/>
      <c r="AA13" s="107">
        <f t="shared" si="1"/>
        <v>40</v>
      </c>
      <c r="AB13" s="98"/>
      <c r="AC13" s="14"/>
      <c r="AD13" s="14"/>
      <c r="AE13" s="14"/>
      <c r="AF13" s="10"/>
      <c r="AG13" s="10"/>
      <c r="AH13" s="10"/>
      <c r="AI13" s="10"/>
      <c r="AJ13" s="14">
        <v>10</v>
      </c>
      <c r="AK13" s="14">
        <v>10</v>
      </c>
      <c r="AL13" s="14">
        <v>10</v>
      </c>
      <c r="AM13" s="15">
        <v>10</v>
      </c>
      <c r="AN13" s="10"/>
      <c r="AO13" s="10"/>
      <c r="AP13" s="10"/>
      <c r="AQ13" s="10"/>
      <c r="AR13" s="14"/>
      <c r="AS13" s="14"/>
      <c r="AT13" s="14"/>
      <c r="AU13" s="14"/>
      <c r="AV13" s="10"/>
      <c r="AW13" s="10"/>
      <c r="AX13" s="10"/>
      <c r="AY13" s="10"/>
      <c r="AZ13" s="14"/>
      <c r="BA13" s="14"/>
      <c r="BB13" s="14"/>
      <c r="BC13" s="14"/>
      <c r="BD13" s="10"/>
      <c r="BE13" s="10"/>
      <c r="BF13" s="10"/>
      <c r="BG13" s="10"/>
      <c r="BH13" s="14"/>
      <c r="BI13" s="14"/>
      <c r="BJ13" s="14"/>
      <c r="BK13" s="14"/>
      <c r="BL13" s="10"/>
      <c r="BM13" s="10"/>
      <c r="BN13" s="22">
        <f t="shared" si="2"/>
        <v>40</v>
      </c>
      <c r="BO13" s="9"/>
      <c r="BP13" s="10"/>
      <c r="BQ13" s="10"/>
      <c r="BR13" s="10"/>
      <c r="BS13" s="10"/>
      <c r="BT13" s="10"/>
      <c r="BU13" s="10"/>
      <c r="BV13" s="10"/>
      <c r="BW13" s="10"/>
      <c r="BX13" s="10"/>
      <c r="BY13" s="10"/>
      <c r="BZ13" s="10"/>
      <c r="CA13" s="10"/>
      <c r="CB13" s="10"/>
      <c r="CC13" s="10"/>
      <c r="CD13" s="10"/>
      <c r="CE13" s="10"/>
      <c r="CF13" s="10"/>
      <c r="CG13" s="10"/>
      <c r="CH13" s="10"/>
      <c r="CI13" s="22">
        <f t="shared" si="3"/>
        <v>0</v>
      </c>
      <c r="CJ13" s="22">
        <f t="shared" si="4"/>
        <v>40</v>
      </c>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c r="IR13" s="9"/>
      <c r="IS13" s="9"/>
      <c r="IT13" s="9"/>
      <c r="IU13" s="9"/>
      <c r="IV13" s="9"/>
      <c r="IW13" s="9"/>
      <c r="IX13" s="9"/>
      <c r="IY13" s="9"/>
      <c r="IZ13" s="9"/>
      <c r="JA13" s="9"/>
      <c r="JB13" s="9"/>
      <c r="JC13" s="9"/>
      <c r="JD13" s="9"/>
      <c r="JE13" s="9"/>
      <c r="JF13" s="9"/>
      <c r="JG13" s="9"/>
      <c r="JH13" s="9"/>
      <c r="JI13" s="9"/>
      <c r="JJ13" s="9"/>
      <c r="JK13" s="9"/>
      <c r="JL13" s="9"/>
      <c r="JM13" s="9"/>
      <c r="JN13" s="9"/>
      <c r="JO13" s="9"/>
      <c r="JP13" s="9"/>
      <c r="JQ13" s="9"/>
      <c r="JR13" s="9"/>
      <c r="JS13" s="9"/>
    </row>
    <row r="14" spans="1:279" s="3" customFormat="1" x14ac:dyDescent="0.25">
      <c r="A14" s="158">
        <v>11</v>
      </c>
      <c r="B14" s="118" t="s">
        <v>198</v>
      </c>
      <c r="C14" s="127" t="s">
        <v>18</v>
      </c>
      <c r="D14" s="5" t="s">
        <v>20</v>
      </c>
      <c r="E14" s="10"/>
      <c r="F14" s="35"/>
      <c r="G14" s="10"/>
      <c r="H14" s="64"/>
      <c r="I14" s="83"/>
      <c r="J14" s="79"/>
      <c r="K14" s="6"/>
      <c r="L14" s="6"/>
      <c r="M14" s="6"/>
      <c r="N14" s="23"/>
      <c r="O14" s="23"/>
      <c r="P14" s="23"/>
      <c r="Q14" s="23"/>
      <c r="R14" s="6"/>
      <c r="S14" s="23"/>
      <c r="T14" s="23"/>
      <c r="U14" s="68"/>
      <c r="V14" s="101" t="s">
        <v>41</v>
      </c>
      <c r="W14" s="74">
        <v>40</v>
      </c>
      <c r="X14" s="105">
        <f t="shared" si="0"/>
        <v>40</v>
      </c>
      <c r="Y14" s="100"/>
      <c r="Z14" s="107"/>
      <c r="AA14" s="107">
        <f t="shared" si="1"/>
        <v>40</v>
      </c>
      <c r="AB14" s="98"/>
      <c r="AC14" s="14"/>
      <c r="AD14" s="14"/>
      <c r="AE14" s="14"/>
      <c r="AF14" s="10"/>
      <c r="AG14" s="10"/>
      <c r="AH14" s="10"/>
      <c r="AI14" s="10"/>
      <c r="AJ14" s="14"/>
      <c r="AK14" s="14"/>
      <c r="AL14" s="14"/>
      <c r="AM14" s="14"/>
      <c r="AN14" s="10">
        <v>10</v>
      </c>
      <c r="AO14" s="10">
        <v>10</v>
      </c>
      <c r="AP14" s="10">
        <v>10</v>
      </c>
      <c r="AQ14" s="15">
        <v>10</v>
      </c>
      <c r="AR14" s="14"/>
      <c r="AS14" s="14"/>
      <c r="AT14" s="14"/>
      <c r="AU14" s="14"/>
      <c r="AV14" s="10"/>
      <c r="AW14" s="10"/>
      <c r="AX14" s="10"/>
      <c r="AY14" s="10"/>
      <c r="AZ14" s="14"/>
      <c r="BA14" s="14"/>
      <c r="BB14" s="14"/>
      <c r="BC14" s="14"/>
      <c r="BD14" s="10"/>
      <c r="BE14" s="10"/>
      <c r="BF14" s="10"/>
      <c r="BG14" s="10"/>
      <c r="BH14" s="14"/>
      <c r="BI14" s="14"/>
      <c r="BJ14" s="14"/>
      <c r="BK14" s="14"/>
      <c r="BL14" s="10"/>
      <c r="BM14" s="10"/>
      <c r="BN14" s="22">
        <f t="shared" si="2"/>
        <v>40</v>
      </c>
      <c r="BO14" s="9"/>
      <c r="BP14" s="10"/>
      <c r="BQ14" s="10"/>
      <c r="BR14" s="10"/>
      <c r="BS14" s="10"/>
      <c r="BT14" s="10"/>
      <c r="BU14" s="10"/>
      <c r="BV14" s="10"/>
      <c r="BW14" s="10"/>
      <c r="BX14" s="10"/>
      <c r="BY14" s="10"/>
      <c r="BZ14" s="10"/>
      <c r="CA14" s="10"/>
      <c r="CB14" s="10"/>
      <c r="CC14" s="10"/>
      <c r="CD14" s="10"/>
      <c r="CE14" s="10"/>
      <c r="CF14" s="10"/>
      <c r="CG14" s="10"/>
      <c r="CH14" s="10"/>
      <c r="CI14" s="22">
        <f t="shared" si="3"/>
        <v>0</v>
      </c>
      <c r="CJ14" s="22">
        <f t="shared" si="4"/>
        <v>40</v>
      </c>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row>
    <row r="15" spans="1:279" s="3" customFormat="1" x14ac:dyDescent="0.25">
      <c r="A15" s="158">
        <v>12</v>
      </c>
      <c r="B15" s="373" t="s">
        <v>199</v>
      </c>
      <c r="C15" s="127" t="s">
        <v>18</v>
      </c>
      <c r="D15" s="7" t="s">
        <v>18</v>
      </c>
      <c r="E15"/>
      <c r="F15" s="34" t="s">
        <v>114</v>
      </c>
      <c r="G15"/>
      <c r="H15" s="64"/>
      <c r="I15" s="83"/>
      <c r="J15" s="79"/>
      <c r="K15" s="6"/>
      <c r="L15" s="6"/>
      <c r="M15" s="6"/>
      <c r="N15" s="23"/>
      <c r="O15" s="23"/>
      <c r="P15" s="23"/>
      <c r="Q15" s="6"/>
      <c r="R15" s="23"/>
      <c r="S15" s="6"/>
      <c r="T15" s="6"/>
      <c r="U15" s="66"/>
      <c r="V15" s="375" t="s">
        <v>190</v>
      </c>
      <c r="W15" s="74" t="s">
        <v>118</v>
      </c>
      <c r="X15" s="105">
        <f t="shared" si="0"/>
        <v>104</v>
      </c>
      <c r="Y15" s="108"/>
      <c r="Z15" s="107"/>
      <c r="AA15" s="107">
        <f t="shared" si="1"/>
        <v>104</v>
      </c>
      <c r="AB15" s="98"/>
      <c r="AC15" s="14"/>
      <c r="AD15" s="14"/>
      <c r="AE15" s="14"/>
      <c r="AF15" s="10"/>
      <c r="AG15" s="10"/>
      <c r="AH15" s="10"/>
      <c r="AI15" s="10"/>
      <c r="AJ15" s="14"/>
      <c r="AK15" s="14"/>
      <c r="AL15" s="14"/>
      <c r="AM15" s="14"/>
      <c r="AN15" s="10"/>
      <c r="AO15" s="10"/>
      <c r="AP15" s="10"/>
      <c r="AQ15" s="10"/>
      <c r="AR15" s="14"/>
      <c r="AS15" s="14"/>
      <c r="AT15" s="14"/>
      <c r="AU15" s="14"/>
      <c r="AV15" s="10"/>
      <c r="AW15" s="10"/>
      <c r="AX15" s="10"/>
      <c r="AY15" s="10"/>
      <c r="AZ15" s="14"/>
      <c r="BA15" s="14"/>
      <c r="BB15" s="14"/>
      <c r="BC15" s="14"/>
      <c r="BD15" s="10">
        <v>8</v>
      </c>
      <c r="BE15" s="10">
        <v>10</v>
      </c>
      <c r="BF15" s="10">
        <v>10</v>
      </c>
      <c r="BG15" s="10">
        <v>10</v>
      </c>
      <c r="BH15" s="14">
        <v>10</v>
      </c>
      <c r="BI15" s="14">
        <v>10</v>
      </c>
      <c r="BJ15" s="14">
        <v>10</v>
      </c>
      <c r="BK15" s="14">
        <v>12</v>
      </c>
      <c r="BL15" s="10">
        <v>12</v>
      </c>
      <c r="BM15" s="15">
        <v>12</v>
      </c>
      <c r="BN15" s="22">
        <f t="shared" si="2"/>
        <v>104</v>
      </c>
      <c r="BO15" s="9"/>
      <c r="BP15" s="10"/>
      <c r="BQ15" s="10"/>
      <c r="BR15" s="10"/>
      <c r="BS15" s="10"/>
      <c r="BT15" s="10"/>
      <c r="BU15" s="10"/>
      <c r="BV15" s="10"/>
      <c r="BW15" s="10"/>
      <c r="BX15" s="10"/>
      <c r="BY15" s="10"/>
      <c r="BZ15" s="10"/>
      <c r="CA15" s="10"/>
      <c r="CB15" s="10"/>
      <c r="CC15" s="10"/>
      <c r="CD15" s="10"/>
      <c r="CE15" s="10"/>
      <c r="CF15" s="10"/>
      <c r="CG15" s="10"/>
      <c r="CH15" s="10"/>
      <c r="CI15" s="22">
        <f t="shared" si="3"/>
        <v>0</v>
      </c>
      <c r="CJ15" s="22">
        <f t="shared" si="4"/>
        <v>104</v>
      </c>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row>
    <row r="16" spans="1:279" s="3" customFormat="1" x14ac:dyDescent="0.25">
      <c r="A16" s="158">
        <v>13</v>
      </c>
      <c r="B16" s="374"/>
      <c r="C16" s="127" t="s">
        <v>18</v>
      </c>
      <c r="D16" s="7" t="s">
        <v>18</v>
      </c>
      <c r="E16" s="10"/>
      <c r="F16" s="35"/>
      <c r="G16" s="10"/>
      <c r="H16" s="64"/>
      <c r="I16" s="83"/>
      <c r="J16" s="79"/>
      <c r="K16" s="6"/>
      <c r="L16" s="6"/>
      <c r="M16" s="6"/>
      <c r="N16" s="23"/>
      <c r="O16" s="23"/>
      <c r="P16" s="23"/>
      <c r="Q16" s="6"/>
      <c r="R16" s="23"/>
      <c r="S16" s="6"/>
      <c r="T16" s="6"/>
      <c r="U16" s="66"/>
      <c r="V16" s="376"/>
      <c r="W16" s="74" t="s">
        <v>118</v>
      </c>
      <c r="X16" s="105">
        <f t="shared" si="0"/>
        <v>20</v>
      </c>
      <c r="Y16" s="109"/>
      <c r="Z16" s="107"/>
      <c r="AA16" s="107">
        <f t="shared" si="1"/>
        <v>20</v>
      </c>
      <c r="AB16" s="98"/>
      <c r="AC16" s="14"/>
      <c r="AD16" s="14"/>
      <c r="AE16" s="14"/>
      <c r="AF16" s="10"/>
      <c r="AG16" s="10"/>
      <c r="AH16" s="10"/>
      <c r="AI16" s="10"/>
      <c r="AJ16" s="14"/>
      <c r="AK16" s="14"/>
      <c r="AL16" s="14"/>
      <c r="AM16" s="14"/>
      <c r="AN16" s="10"/>
      <c r="AO16" s="10"/>
      <c r="AP16" s="10"/>
      <c r="AQ16" s="10"/>
      <c r="AR16" s="14"/>
      <c r="AS16" s="14"/>
      <c r="AT16" s="14"/>
      <c r="AU16" s="14"/>
      <c r="AV16" s="10"/>
      <c r="AW16" s="10"/>
      <c r="AX16" s="10"/>
      <c r="AY16" s="10"/>
      <c r="AZ16" s="14"/>
      <c r="BA16" s="14">
        <v>6</v>
      </c>
      <c r="BB16" s="14">
        <v>6</v>
      </c>
      <c r="BC16" s="14">
        <v>6</v>
      </c>
      <c r="BD16" s="15">
        <v>2</v>
      </c>
      <c r="BE16" s="10"/>
      <c r="BF16" s="10"/>
      <c r="BG16" s="10"/>
      <c r="BH16" s="14"/>
      <c r="BI16" s="14"/>
      <c r="BJ16" s="14"/>
      <c r="BK16" s="14"/>
      <c r="BL16" s="10"/>
      <c r="BM16" s="10"/>
      <c r="BN16" s="22">
        <f t="shared" si="2"/>
        <v>20</v>
      </c>
      <c r="BO16" s="9"/>
      <c r="BP16" s="10"/>
      <c r="BQ16" s="10"/>
      <c r="BR16" s="10"/>
      <c r="BS16" s="10"/>
      <c r="BT16" s="10"/>
      <c r="BU16" s="10"/>
      <c r="BV16" s="10"/>
      <c r="BW16" s="10"/>
      <c r="BX16" s="10"/>
      <c r="BY16" s="10"/>
      <c r="BZ16" s="10"/>
      <c r="CA16" s="10"/>
      <c r="CB16" s="10"/>
      <c r="CC16" s="10"/>
      <c r="CD16" s="10"/>
      <c r="CE16" s="10"/>
      <c r="CF16" s="10"/>
      <c r="CG16" s="10"/>
      <c r="CH16" s="10"/>
      <c r="CI16" s="22">
        <f t="shared" si="3"/>
        <v>0</v>
      </c>
      <c r="CJ16" s="22">
        <f t="shared" si="4"/>
        <v>20</v>
      </c>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row>
    <row r="17" spans="1:279" s="3" customFormat="1" x14ac:dyDescent="0.25">
      <c r="A17" s="158">
        <v>14</v>
      </c>
      <c r="B17" s="117" t="s">
        <v>200</v>
      </c>
      <c r="C17" s="127" t="s">
        <v>18</v>
      </c>
      <c r="D17" s="7" t="s">
        <v>18</v>
      </c>
      <c r="E17"/>
      <c r="F17" s="34"/>
      <c r="G17"/>
      <c r="H17" s="64"/>
      <c r="I17" s="84"/>
      <c r="J17" s="65"/>
      <c r="K17" s="4"/>
      <c r="L17" s="4"/>
      <c r="M17" s="4"/>
      <c r="N17" s="23"/>
      <c r="O17" s="23"/>
      <c r="P17" s="23"/>
      <c r="Q17" s="4"/>
      <c r="R17" s="4"/>
      <c r="S17" s="4"/>
      <c r="T17" s="4"/>
      <c r="U17" s="67"/>
      <c r="V17" s="102" t="s">
        <v>6</v>
      </c>
      <c r="W17" s="74" t="s">
        <v>118</v>
      </c>
      <c r="X17" s="105">
        <f t="shared" si="0"/>
        <v>40</v>
      </c>
      <c r="Y17" s="100"/>
      <c r="Z17" s="107"/>
      <c r="AA17" s="107">
        <f t="shared" si="1"/>
        <v>40</v>
      </c>
      <c r="AB17" s="98"/>
      <c r="AC17" s="14"/>
      <c r="AD17" s="14"/>
      <c r="AE17" s="14"/>
      <c r="AF17" s="10"/>
      <c r="AG17" s="10"/>
      <c r="AH17" s="10"/>
      <c r="AI17" s="10"/>
      <c r="AJ17" s="14"/>
      <c r="AK17" s="14"/>
      <c r="AL17" s="14"/>
      <c r="AM17" s="14"/>
      <c r="AN17" s="10"/>
      <c r="AO17" s="10"/>
      <c r="AP17" s="10"/>
      <c r="AQ17" s="10"/>
      <c r="AR17" s="14"/>
      <c r="AS17" s="14"/>
      <c r="AT17" s="14"/>
      <c r="AU17" s="14"/>
      <c r="AV17" s="10"/>
      <c r="AW17" s="10"/>
      <c r="AX17" s="10">
        <v>6</v>
      </c>
      <c r="AY17" s="10">
        <v>6</v>
      </c>
      <c r="AZ17" s="14">
        <v>6</v>
      </c>
      <c r="BA17" s="14">
        <v>6</v>
      </c>
      <c r="BB17" s="14">
        <v>6</v>
      </c>
      <c r="BC17" s="14">
        <v>6</v>
      </c>
      <c r="BD17" s="15">
        <v>4</v>
      </c>
      <c r="BE17" s="10"/>
      <c r="BF17" s="10"/>
      <c r="BG17" s="10"/>
      <c r="BH17" s="14"/>
      <c r="BI17" s="14"/>
      <c r="BJ17" s="14"/>
      <c r="BK17" s="14"/>
      <c r="BL17" s="10"/>
      <c r="BM17" s="10"/>
      <c r="BN17" s="22">
        <f t="shared" si="2"/>
        <v>40</v>
      </c>
      <c r="BO17" s="9"/>
      <c r="BP17" s="10"/>
      <c r="BQ17" s="10"/>
      <c r="BR17" s="10"/>
      <c r="BS17" s="10"/>
      <c r="BT17" s="10"/>
      <c r="BU17" s="10"/>
      <c r="BV17" s="10"/>
      <c r="BW17" s="10"/>
      <c r="BX17" s="10"/>
      <c r="BY17" s="10"/>
      <c r="BZ17" s="10"/>
      <c r="CA17" s="10"/>
      <c r="CB17" s="10"/>
      <c r="CC17" s="10"/>
      <c r="CD17" s="10"/>
      <c r="CE17" s="10"/>
      <c r="CF17" s="10"/>
      <c r="CG17" s="10"/>
      <c r="CH17" s="10"/>
      <c r="CI17" s="22">
        <f t="shared" si="3"/>
        <v>0</v>
      </c>
      <c r="CJ17" s="22">
        <f t="shared" si="4"/>
        <v>40</v>
      </c>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c r="IX17" s="9"/>
      <c r="IY17" s="9"/>
      <c r="IZ17" s="9"/>
      <c r="JA17" s="9"/>
      <c r="JB17" s="9"/>
      <c r="JC17" s="9"/>
      <c r="JD17" s="9"/>
      <c r="JE17" s="9"/>
      <c r="JF17" s="9"/>
      <c r="JG17" s="9"/>
      <c r="JH17" s="9"/>
      <c r="JI17" s="9"/>
      <c r="JJ17" s="9"/>
      <c r="JK17" s="9"/>
      <c r="JL17" s="9"/>
      <c r="JM17" s="9"/>
      <c r="JN17" s="9"/>
      <c r="JO17" s="9"/>
      <c r="JP17" s="9"/>
      <c r="JQ17" s="9"/>
      <c r="JR17" s="9"/>
      <c r="JS17" s="9"/>
    </row>
    <row r="18" spans="1:279" s="3" customFormat="1" ht="39.75" customHeight="1" x14ac:dyDescent="0.25">
      <c r="A18" s="158">
        <v>15</v>
      </c>
      <c r="B18" s="112" t="s">
        <v>201</v>
      </c>
      <c r="C18" s="127" t="s">
        <v>18</v>
      </c>
      <c r="D18" s="7" t="s">
        <v>18</v>
      </c>
      <c r="E18" s="10"/>
      <c r="F18" s="35"/>
      <c r="G18" s="10"/>
      <c r="H18" s="64"/>
      <c r="I18" s="84"/>
      <c r="J18" s="65"/>
      <c r="K18" s="4"/>
      <c r="L18" s="4"/>
      <c r="M18" s="4"/>
      <c r="N18" s="23"/>
      <c r="O18" s="23"/>
      <c r="P18" s="23"/>
      <c r="Q18" s="23"/>
      <c r="R18" s="4"/>
      <c r="S18" s="4"/>
      <c r="T18" s="23"/>
      <c r="U18" s="67"/>
      <c r="V18" s="101" t="s">
        <v>42</v>
      </c>
      <c r="W18" s="74" t="s">
        <v>118</v>
      </c>
      <c r="X18" s="105">
        <f t="shared" si="0"/>
        <v>66</v>
      </c>
      <c r="Y18" s="100"/>
      <c r="Z18" s="107"/>
      <c r="AA18" s="107">
        <f t="shared" si="1"/>
        <v>66</v>
      </c>
      <c r="AB18" s="98"/>
      <c r="AC18" s="14"/>
      <c r="AD18" s="14"/>
      <c r="AE18" s="14"/>
      <c r="AF18" s="10"/>
      <c r="AG18" s="10"/>
      <c r="AH18" s="10"/>
      <c r="AI18" s="10"/>
      <c r="AJ18" s="14"/>
      <c r="AK18" s="14"/>
      <c r="AL18" s="14"/>
      <c r="AM18" s="14"/>
      <c r="AN18" s="10"/>
      <c r="AO18" s="10"/>
      <c r="AP18" s="10"/>
      <c r="AQ18" s="10"/>
      <c r="AR18" s="14">
        <v>10</v>
      </c>
      <c r="AS18" s="14">
        <v>10</v>
      </c>
      <c r="AT18" s="14">
        <v>10</v>
      </c>
      <c r="AU18" s="14">
        <v>10</v>
      </c>
      <c r="AV18" s="10">
        <v>10</v>
      </c>
      <c r="AW18" s="10">
        <v>10</v>
      </c>
      <c r="AX18" s="15">
        <v>6</v>
      </c>
      <c r="AY18" s="10"/>
      <c r="AZ18" s="14"/>
      <c r="BA18" s="14"/>
      <c r="BB18" s="14"/>
      <c r="BC18" s="14"/>
      <c r="BD18" s="10"/>
      <c r="BE18" s="10"/>
      <c r="BF18" s="10"/>
      <c r="BG18" s="10"/>
      <c r="BH18" s="14"/>
      <c r="BI18" s="14"/>
      <c r="BJ18" s="14"/>
      <c r="BK18" s="14"/>
      <c r="BL18" s="10"/>
      <c r="BM18" s="10"/>
      <c r="BN18" s="22">
        <f t="shared" si="2"/>
        <v>66</v>
      </c>
      <c r="BO18" s="9"/>
      <c r="BP18" s="10"/>
      <c r="BQ18" s="10"/>
      <c r="BR18" s="10"/>
      <c r="BS18" s="10"/>
      <c r="BT18" s="10"/>
      <c r="BU18" s="10"/>
      <c r="BV18" s="10"/>
      <c r="BW18" s="10"/>
      <c r="BX18" s="10"/>
      <c r="BY18" s="10"/>
      <c r="BZ18" s="10"/>
      <c r="CA18" s="10"/>
      <c r="CB18" s="10"/>
      <c r="CC18" s="10"/>
      <c r="CD18" s="10"/>
      <c r="CE18" s="10"/>
      <c r="CF18" s="10"/>
      <c r="CG18" s="10"/>
      <c r="CH18" s="10"/>
      <c r="CI18" s="22">
        <f t="shared" si="3"/>
        <v>0</v>
      </c>
      <c r="CJ18" s="22">
        <f t="shared" si="4"/>
        <v>66</v>
      </c>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9"/>
      <c r="IJ18" s="9"/>
      <c r="IK18" s="9"/>
      <c r="IL18" s="9"/>
      <c r="IM18" s="9"/>
      <c r="IN18" s="9"/>
      <c r="IO18" s="9"/>
      <c r="IP18" s="9"/>
      <c r="IQ18" s="9"/>
      <c r="IR18" s="9"/>
      <c r="IS18" s="9"/>
      <c r="IT18" s="9"/>
      <c r="IU18" s="9"/>
      <c r="IV18" s="9"/>
      <c r="IW18" s="9"/>
      <c r="IX18" s="9"/>
      <c r="IY18" s="9"/>
      <c r="IZ18" s="9"/>
      <c r="JA18" s="9"/>
      <c r="JB18" s="9"/>
      <c r="JC18" s="9"/>
      <c r="JD18" s="9"/>
      <c r="JE18" s="9"/>
      <c r="JF18" s="9"/>
      <c r="JG18" s="9"/>
      <c r="JH18" s="9"/>
      <c r="JI18" s="9"/>
      <c r="JJ18" s="9"/>
      <c r="JK18" s="9"/>
      <c r="JL18" s="9"/>
      <c r="JM18" s="9"/>
      <c r="JN18" s="9"/>
      <c r="JO18" s="9"/>
      <c r="JP18" s="9"/>
      <c r="JQ18" s="9"/>
      <c r="JR18" s="9"/>
      <c r="JS18" s="9"/>
    </row>
    <row r="19" spans="1:279" s="3" customFormat="1" ht="30" x14ac:dyDescent="0.25">
      <c r="A19" s="158">
        <v>16</v>
      </c>
      <c r="B19" s="120" t="s">
        <v>202</v>
      </c>
      <c r="C19" s="127" t="s">
        <v>18</v>
      </c>
      <c r="D19" s="5" t="s">
        <v>20</v>
      </c>
      <c r="E19" s="10"/>
      <c r="F19" s="34"/>
      <c r="G19"/>
      <c r="I19" s="84"/>
      <c r="J19" s="65"/>
      <c r="K19" s="4"/>
      <c r="L19" s="4"/>
      <c r="M19" s="4"/>
      <c r="N19" s="4"/>
      <c r="O19" s="4"/>
      <c r="P19" s="23"/>
      <c r="Q19" s="4"/>
      <c r="R19" s="4"/>
      <c r="S19" s="4"/>
      <c r="T19" s="23"/>
      <c r="U19" s="67"/>
      <c r="V19" s="102" t="s">
        <v>6</v>
      </c>
      <c r="W19" s="74" t="s">
        <v>118</v>
      </c>
      <c r="X19" s="105">
        <f t="shared" si="0"/>
        <v>40</v>
      </c>
      <c r="Y19" s="100"/>
      <c r="Z19" s="107"/>
      <c r="AA19" s="107">
        <f t="shared" si="1"/>
        <v>40</v>
      </c>
      <c r="AB19" s="98"/>
      <c r="AC19" s="14"/>
      <c r="AD19" s="14"/>
      <c r="AE19" s="14"/>
      <c r="AF19" s="10"/>
      <c r="AG19" s="10">
        <v>6</v>
      </c>
      <c r="AH19" s="10">
        <v>6</v>
      </c>
      <c r="AI19" s="10">
        <v>6</v>
      </c>
      <c r="AJ19" s="14">
        <v>6</v>
      </c>
      <c r="AK19" s="14">
        <v>6</v>
      </c>
      <c r="AL19" s="14">
        <v>6</v>
      </c>
      <c r="AM19" s="15">
        <v>4</v>
      </c>
      <c r="AN19" s="10"/>
      <c r="AO19" s="10"/>
      <c r="AP19" s="10"/>
      <c r="AQ19" s="10"/>
      <c r="AR19" s="14"/>
      <c r="AS19" s="14"/>
      <c r="AT19" s="14"/>
      <c r="AU19" s="14"/>
      <c r="AV19" s="10"/>
      <c r="AW19" s="10"/>
      <c r="AX19" s="10"/>
      <c r="AY19" s="10"/>
      <c r="AZ19" s="14"/>
      <c r="BA19" s="14"/>
      <c r="BB19" s="14"/>
      <c r="BC19" s="14"/>
      <c r="BD19" s="10"/>
      <c r="BE19" s="10"/>
      <c r="BF19" s="10"/>
      <c r="BG19" s="10"/>
      <c r="BH19" s="14"/>
      <c r="BI19" s="14"/>
      <c r="BJ19" s="14"/>
      <c r="BK19" s="14"/>
      <c r="BL19" s="10"/>
      <c r="BM19" s="10"/>
      <c r="BN19" s="22">
        <f t="shared" si="2"/>
        <v>40</v>
      </c>
      <c r="BO19" s="9"/>
      <c r="BP19" s="10"/>
      <c r="BQ19" s="10"/>
      <c r="BR19" s="10"/>
      <c r="BS19" s="10"/>
      <c r="BT19" s="10"/>
      <c r="BU19" s="10"/>
      <c r="BV19" s="10"/>
      <c r="BW19" s="10"/>
      <c r="BX19" s="10"/>
      <c r="BY19" s="10"/>
      <c r="BZ19" s="10"/>
      <c r="CA19" s="10"/>
      <c r="CB19" s="10"/>
      <c r="CC19" s="10"/>
      <c r="CD19" s="10"/>
      <c r="CE19" s="10"/>
      <c r="CF19" s="10"/>
      <c r="CG19" s="10"/>
      <c r="CH19" s="10"/>
      <c r="CI19" s="22">
        <f t="shared" si="3"/>
        <v>0</v>
      </c>
      <c r="CJ19" s="22">
        <f t="shared" si="4"/>
        <v>40</v>
      </c>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row>
    <row r="20" spans="1:279" s="3" customFormat="1" x14ac:dyDescent="0.25">
      <c r="A20" s="158">
        <v>17</v>
      </c>
      <c r="B20" s="119" t="s">
        <v>203</v>
      </c>
      <c r="C20" s="127" t="s">
        <v>18</v>
      </c>
      <c r="D20" s="7" t="s">
        <v>18</v>
      </c>
      <c r="E20" s="10"/>
      <c r="F20" s="35" t="s">
        <v>22</v>
      </c>
      <c r="G20" s="10"/>
      <c r="H20" s="64"/>
      <c r="I20" s="84"/>
      <c r="J20" s="65"/>
      <c r="K20" s="4"/>
      <c r="L20" s="4"/>
      <c r="M20" s="4"/>
      <c r="N20" s="4"/>
      <c r="O20" s="4"/>
      <c r="P20" s="4"/>
      <c r="Q20" s="4"/>
      <c r="R20" s="4"/>
      <c r="S20" s="4"/>
      <c r="T20" s="23"/>
      <c r="U20" s="67"/>
      <c r="V20" s="101" t="s">
        <v>43</v>
      </c>
      <c r="W20" s="74" t="s">
        <v>118</v>
      </c>
      <c r="X20" s="105">
        <f t="shared" si="0"/>
        <v>30</v>
      </c>
      <c r="Y20" s="100"/>
      <c r="Z20" s="107"/>
      <c r="AA20" s="107">
        <f t="shared" si="1"/>
        <v>30</v>
      </c>
      <c r="AB20" s="98"/>
      <c r="AC20" s="14"/>
      <c r="AD20" s="14"/>
      <c r="AE20" s="14"/>
      <c r="AF20" s="10"/>
      <c r="AG20" s="10"/>
      <c r="AH20" s="10"/>
      <c r="AI20" s="10"/>
      <c r="AJ20" s="14"/>
      <c r="AK20" s="14"/>
      <c r="AL20" s="14"/>
      <c r="AM20" s="14"/>
      <c r="AN20" s="10"/>
      <c r="AO20" s="10"/>
      <c r="AP20" s="10"/>
      <c r="AQ20" s="10"/>
      <c r="AR20" s="14"/>
      <c r="AS20" s="14"/>
      <c r="AT20" s="14"/>
      <c r="AU20" s="14">
        <v>4</v>
      </c>
      <c r="AV20" s="10">
        <v>4</v>
      </c>
      <c r="AW20" s="10">
        <v>4</v>
      </c>
      <c r="AX20" s="10">
        <v>4</v>
      </c>
      <c r="AY20" s="10">
        <v>4</v>
      </c>
      <c r="AZ20" s="14">
        <v>4</v>
      </c>
      <c r="BA20" s="14">
        <v>4</v>
      </c>
      <c r="BB20" s="15">
        <v>2</v>
      </c>
      <c r="BC20" s="14"/>
      <c r="BD20" s="10"/>
      <c r="BE20" s="10"/>
      <c r="BF20" s="10"/>
      <c r="BG20" s="10"/>
      <c r="BH20" s="14"/>
      <c r="BI20" s="14"/>
      <c r="BJ20" s="14"/>
      <c r="BK20" s="14"/>
      <c r="BL20" s="10"/>
      <c r="BM20" s="10"/>
      <c r="BN20" s="22">
        <f t="shared" si="2"/>
        <v>30</v>
      </c>
      <c r="BO20" s="9"/>
      <c r="BP20" s="10"/>
      <c r="BQ20" s="10"/>
      <c r="BR20" s="10"/>
      <c r="BS20" s="10"/>
      <c r="BT20" s="10"/>
      <c r="BU20" s="10"/>
      <c r="BV20" s="10"/>
      <c r="BW20" s="10"/>
      <c r="BX20" s="10"/>
      <c r="BY20" s="10"/>
      <c r="BZ20" s="10"/>
      <c r="CA20" s="10"/>
      <c r="CB20" s="10"/>
      <c r="CC20" s="10"/>
      <c r="CD20" s="10"/>
      <c r="CE20" s="10"/>
      <c r="CF20" s="10"/>
      <c r="CG20" s="10"/>
      <c r="CH20" s="10"/>
      <c r="CI20" s="22">
        <f t="shared" si="3"/>
        <v>0</v>
      </c>
      <c r="CJ20" s="22">
        <f t="shared" si="4"/>
        <v>30</v>
      </c>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row>
    <row r="21" spans="1:279" s="3" customFormat="1" ht="30" x14ac:dyDescent="0.25">
      <c r="A21" s="158">
        <v>18</v>
      </c>
      <c r="B21" s="120" t="s">
        <v>204</v>
      </c>
      <c r="C21" s="127" t="s">
        <v>18</v>
      </c>
      <c r="D21" s="7" t="s">
        <v>18</v>
      </c>
      <c r="E21" s="10"/>
      <c r="F21" s="35" t="s">
        <v>10</v>
      </c>
      <c r="G21" s="10"/>
      <c r="H21" s="64" t="s">
        <v>110</v>
      </c>
      <c r="I21" s="84"/>
      <c r="J21" s="65"/>
      <c r="K21" s="4"/>
      <c r="L21" s="4"/>
      <c r="M21" s="4"/>
      <c r="N21" s="4"/>
      <c r="O21" s="4"/>
      <c r="P21" s="4"/>
      <c r="Q21" s="4"/>
      <c r="R21" s="4"/>
      <c r="S21" s="23"/>
      <c r="T21" s="4"/>
      <c r="U21" s="67"/>
      <c r="V21" s="102" t="s">
        <v>6</v>
      </c>
      <c r="W21" s="74" t="s">
        <v>118</v>
      </c>
      <c r="X21" s="105">
        <f t="shared" si="0"/>
        <v>30</v>
      </c>
      <c r="Y21" s="100"/>
      <c r="Z21" s="107"/>
      <c r="AA21" s="107">
        <f t="shared" si="1"/>
        <v>30</v>
      </c>
      <c r="AB21" s="98" t="s">
        <v>99</v>
      </c>
      <c r="AC21" s="14"/>
      <c r="AD21" s="14"/>
      <c r="AE21" s="14"/>
      <c r="AF21" s="10"/>
      <c r="AG21" s="10"/>
      <c r="AH21" s="10"/>
      <c r="AI21" s="10"/>
      <c r="AJ21" s="14"/>
      <c r="AK21" s="14"/>
      <c r="AL21" s="14"/>
      <c r="AM21" s="14"/>
      <c r="AN21" s="10">
        <v>4</v>
      </c>
      <c r="AO21" s="10">
        <v>4</v>
      </c>
      <c r="AP21" s="10">
        <v>4</v>
      </c>
      <c r="AQ21" s="10">
        <v>4</v>
      </c>
      <c r="AR21" s="14">
        <v>4</v>
      </c>
      <c r="AS21" s="14">
        <v>4</v>
      </c>
      <c r="AT21" s="14">
        <v>4</v>
      </c>
      <c r="AU21" s="15">
        <v>2</v>
      </c>
      <c r="AV21" s="10"/>
      <c r="AW21" s="10"/>
      <c r="AX21" s="10"/>
      <c r="AY21" s="10"/>
      <c r="AZ21" s="14"/>
      <c r="BA21" s="14"/>
      <c r="BB21" s="14"/>
      <c r="BC21" s="14"/>
      <c r="BD21" s="10"/>
      <c r="BE21" s="10"/>
      <c r="BF21" s="10"/>
      <c r="BG21" s="10"/>
      <c r="BH21" s="14"/>
      <c r="BI21" s="14"/>
      <c r="BJ21" s="14"/>
      <c r="BK21" s="14"/>
      <c r="BL21" s="10"/>
      <c r="BM21" s="10"/>
      <c r="BN21" s="22">
        <f t="shared" si="2"/>
        <v>30</v>
      </c>
      <c r="BO21" s="9"/>
      <c r="BP21" s="10"/>
      <c r="BQ21" s="10"/>
      <c r="BR21" s="10"/>
      <c r="BS21" s="10"/>
      <c r="BT21" s="10"/>
      <c r="BU21" s="10"/>
      <c r="BV21" s="10"/>
      <c r="BW21" s="10"/>
      <c r="BX21" s="10"/>
      <c r="BY21" s="10"/>
      <c r="BZ21" s="10"/>
      <c r="CA21" s="10"/>
      <c r="CB21" s="10"/>
      <c r="CC21" s="10"/>
      <c r="CD21" s="10"/>
      <c r="CE21" s="10"/>
      <c r="CF21" s="10"/>
      <c r="CG21" s="10"/>
      <c r="CH21" s="10"/>
      <c r="CI21" s="22">
        <f t="shared" si="3"/>
        <v>0</v>
      </c>
      <c r="CJ21" s="22">
        <f t="shared" si="4"/>
        <v>30</v>
      </c>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row>
    <row r="22" spans="1:279" s="9" customFormat="1" ht="51" customHeight="1" thickBot="1" x14ac:dyDescent="0.3">
      <c r="A22" s="158">
        <v>19</v>
      </c>
      <c r="B22" s="159" t="s">
        <v>101</v>
      </c>
      <c r="C22" s="127" t="s">
        <v>18</v>
      </c>
      <c r="D22" s="5" t="s">
        <v>20</v>
      </c>
      <c r="E22" s="10" t="s">
        <v>27</v>
      </c>
      <c r="F22" s="10" t="s">
        <v>27</v>
      </c>
      <c r="G22" s="10" t="s">
        <v>27</v>
      </c>
      <c r="H22" s="64"/>
      <c r="I22" s="86"/>
      <c r="J22" s="82"/>
      <c r="K22" s="69"/>
      <c r="L22" s="70"/>
      <c r="M22" s="70"/>
      <c r="N22" s="70"/>
      <c r="O22" s="70"/>
      <c r="P22" s="70"/>
      <c r="Q22" s="70"/>
      <c r="R22" s="70"/>
      <c r="S22" s="70"/>
      <c r="T22" s="70"/>
      <c r="U22" s="71"/>
      <c r="V22" s="102" t="s">
        <v>188</v>
      </c>
      <c r="W22" s="74">
        <v>4</v>
      </c>
      <c r="X22" s="105">
        <f t="shared" si="0"/>
        <v>33</v>
      </c>
      <c r="Y22" s="100">
        <v>16</v>
      </c>
      <c r="Z22" s="107">
        <f>+CI22</f>
        <v>72</v>
      </c>
      <c r="AA22" s="107">
        <f t="shared" si="1"/>
        <v>105</v>
      </c>
      <c r="AB22" s="98"/>
      <c r="AC22" s="14"/>
      <c r="AD22" s="14"/>
      <c r="AE22" s="14"/>
      <c r="AF22" s="10"/>
      <c r="AG22" s="10">
        <v>1</v>
      </c>
      <c r="AH22" s="10">
        <v>1</v>
      </c>
      <c r="AI22" s="10">
        <v>1</v>
      </c>
      <c r="AJ22" s="14">
        <v>1</v>
      </c>
      <c r="AK22" s="14">
        <v>1</v>
      </c>
      <c r="AL22" s="14">
        <v>1</v>
      </c>
      <c r="AM22" s="14">
        <v>1</v>
      </c>
      <c r="AN22" s="10">
        <v>1</v>
      </c>
      <c r="AO22" s="10">
        <v>1</v>
      </c>
      <c r="AP22" s="10">
        <v>1</v>
      </c>
      <c r="AQ22" s="10">
        <v>1</v>
      </c>
      <c r="AR22" s="14">
        <v>1</v>
      </c>
      <c r="AS22" s="14">
        <v>1</v>
      </c>
      <c r="AT22" s="14">
        <v>1</v>
      </c>
      <c r="AU22" s="14">
        <v>1</v>
      </c>
      <c r="AV22" s="10">
        <v>1</v>
      </c>
      <c r="AW22" s="10">
        <v>1</v>
      </c>
      <c r="AX22" s="10">
        <v>1</v>
      </c>
      <c r="AY22" s="10">
        <v>1</v>
      </c>
      <c r="AZ22" s="14">
        <v>1</v>
      </c>
      <c r="BA22" s="14">
        <v>1</v>
      </c>
      <c r="BB22" s="14">
        <v>1</v>
      </c>
      <c r="BC22" s="14">
        <v>1</v>
      </c>
      <c r="BD22" s="10">
        <v>1</v>
      </c>
      <c r="BE22" s="10">
        <v>1</v>
      </c>
      <c r="BF22" s="10">
        <v>1</v>
      </c>
      <c r="BG22" s="10">
        <v>1</v>
      </c>
      <c r="BH22" s="14">
        <v>1</v>
      </c>
      <c r="BI22" s="14">
        <v>1</v>
      </c>
      <c r="BJ22" s="14">
        <v>1</v>
      </c>
      <c r="BK22" s="14">
        <v>1</v>
      </c>
      <c r="BL22" s="10">
        <v>1</v>
      </c>
      <c r="BM22" s="10">
        <v>1</v>
      </c>
      <c r="BN22" s="22">
        <f t="shared" si="2"/>
        <v>33</v>
      </c>
      <c r="BP22" s="10">
        <v>4</v>
      </c>
      <c r="BQ22" s="10">
        <v>4</v>
      </c>
      <c r="BR22" s="10">
        <v>4</v>
      </c>
      <c r="BS22" s="10">
        <v>4</v>
      </c>
      <c r="BT22" s="10">
        <v>4</v>
      </c>
      <c r="BU22" s="10">
        <v>4</v>
      </c>
      <c r="BV22" s="10">
        <v>4</v>
      </c>
      <c r="BW22" s="10">
        <v>2</v>
      </c>
      <c r="BX22" s="10">
        <v>4</v>
      </c>
      <c r="BY22" s="10">
        <v>4</v>
      </c>
      <c r="BZ22" s="10">
        <v>4</v>
      </c>
      <c r="CA22" s="10">
        <v>4</v>
      </c>
      <c r="CB22" s="10">
        <v>4</v>
      </c>
      <c r="CC22" s="10">
        <v>4</v>
      </c>
      <c r="CD22" s="10">
        <v>4</v>
      </c>
      <c r="CE22" s="10">
        <v>4</v>
      </c>
      <c r="CF22" s="10">
        <v>4</v>
      </c>
      <c r="CG22" s="10">
        <v>4</v>
      </c>
      <c r="CH22" s="10">
        <v>2</v>
      </c>
      <c r="CI22" s="22">
        <f t="shared" si="3"/>
        <v>72</v>
      </c>
      <c r="CJ22" s="22">
        <f t="shared" si="4"/>
        <v>105</v>
      </c>
    </row>
    <row r="23" spans="1:279" s="9" customFormat="1" ht="6" customHeight="1" thickBot="1" x14ac:dyDescent="0.3">
      <c r="A23" s="128"/>
      <c r="B23" s="16"/>
      <c r="C23" s="128"/>
      <c r="F23" s="36"/>
      <c r="W23" s="74"/>
      <c r="X23" s="105"/>
      <c r="Y23" s="100"/>
      <c r="Z23" s="105"/>
      <c r="AA23" s="105"/>
      <c r="BN23" s="16"/>
      <c r="CJ23" s="22"/>
    </row>
    <row r="24" spans="1:279" s="9" customFormat="1" x14ac:dyDescent="0.25">
      <c r="A24" s="158">
        <v>20</v>
      </c>
      <c r="B24" s="121" t="s">
        <v>100</v>
      </c>
      <c r="C24" s="125"/>
      <c r="D24" s="62"/>
      <c r="E24" s="62"/>
      <c r="F24" s="62"/>
      <c r="G24" s="62"/>
      <c r="H24" s="64"/>
      <c r="I24" s="93"/>
      <c r="J24" s="87"/>
      <c r="K24" s="72"/>
      <c r="L24" s="72"/>
      <c r="M24" s="72"/>
      <c r="N24" s="72"/>
      <c r="O24" s="72"/>
      <c r="P24" s="72"/>
      <c r="Q24" s="72"/>
      <c r="R24" s="72"/>
      <c r="S24" s="72"/>
      <c r="T24" s="72"/>
      <c r="U24" s="73"/>
      <c r="V24" s="102" t="s">
        <v>188</v>
      </c>
      <c r="W24" s="74">
        <v>4</v>
      </c>
      <c r="X24" s="105">
        <f t="shared" ref="X24:X25" si="5">+BN24</f>
        <v>36</v>
      </c>
      <c r="Y24" s="100">
        <v>4</v>
      </c>
      <c r="Z24" s="107">
        <f>+CI24</f>
        <v>19</v>
      </c>
      <c r="AA24" s="107">
        <f t="shared" si="1"/>
        <v>55</v>
      </c>
      <c r="AB24" s="99"/>
      <c r="AC24" s="12"/>
      <c r="AD24" s="12">
        <v>1</v>
      </c>
      <c r="AE24" s="12">
        <v>1</v>
      </c>
      <c r="AF24" s="12">
        <v>1</v>
      </c>
      <c r="AG24" s="12">
        <v>1</v>
      </c>
      <c r="AH24" s="12">
        <v>1</v>
      </c>
      <c r="AI24" s="12">
        <v>1</v>
      </c>
      <c r="AJ24" s="12">
        <v>1</v>
      </c>
      <c r="AK24" s="12">
        <v>1</v>
      </c>
      <c r="AL24" s="12">
        <v>1</v>
      </c>
      <c r="AM24" s="12">
        <v>1</v>
      </c>
      <c r="AN24" s="12">
        <v>1</v>
      </c>
      <c r="AO24" s="12">
        <v>1</v>
      </c>
      <c r="AP24" s="12">
        <v>1</v>
      </c>
      <c r="AQ24" s="12">
        <v>1</v>
      </c>
      <c r="AR24" s="12">
        <v>1</v>
      </c>
      <c r="AS24" s="12">
        <v>1</v>
      </c>
      <c r="AT24" s="12">
        <v>1</v>
      </c>
      <c r="AU24" s="12">
        <v>1</v>
      </c>
      <c r="AV24" s="12">
        <v>1</v>
      </c>
      <c r="AW24" s="12">
        <v>1</v>
      </c>
      <c r="AX24" s="12">
        <v>1</v>
      </c>
      <c r="AY24" s="12">
        <v>1</v>
      </c>
      <c r="AZ24" s="12">
        <v>1</v>
      </c>
      <c r="BA24" s="12">
        <v>1</v>
      </c>
      <c r="BB24" s="12">
        <v>1</v>
      </c>
      <c r="BC24" s="12">
        <v>1</v>
      </c>
      <c r="BD24" s="12">
        <v>1</v>
      </c>
      <c r="BE24" s="12">
        <v>1</v>
      </c>
      <c r="BF24" s="12">
        <v>1</v>
      </c>
      <c r="BG24" s="12">
        <v>1</v>
      </c>
      <c r="BH24" s="12">
        <v>1</v>
      </c>
      <c r="BI24" s="12">
        <v>1</v>
      </c>
      <c r="BJ24" s="12">
        <v>1</v>
      </c>
      <c r="BK24" s="12">
        <v>1</v>
      </c>
      <c r="BL24" s="12">
        <v>1</v>
      </c>
      <c r="BM24" s="12">
        <v>1</v>
      </c>
      <c r="BN24" s="22">
        <f t="shared" ref="BN24:BN25" si="6">SUM(AB24:BM24)</f>
        <v>36</v>
      </c>
      <c r="BP24" s="12">
        <v>1</v>
      </c>
      <c r="BQ24" s="12">
        <v>1</v>
      </c>
      <c r="BR24" s="12">
        <v>1</v>
      </c>
      <c r="BS24" s="12">
        <v>1</v>
      </c>
      <c r="BT24" s="12">
        <v>1</v>
      </c>
      <c r="BU24" s="12">
        <v>1</v>
      </c>
      <c r="BV24" s="12">
        <v>1</v>
      </c>
      <c r="BW24" s="12">
        <v>1</v>
      </c>
      <c r="BX24" s="12">
        <v>1</v>
      </c>
      <c r="BY24" s="12">
        <v>1</v>
      </c>
      <c r="BZ24" s="12">
        <v>1</v>
      </c>
      <c r="CA24" s="12">
        <v>1</v>
      </c>
      <c r="CB24" s="12">
        <v>1</v>
      </c>
      <c r="CC24" s="12">
        <v>1</v>
      </c>
      <c r="CD24" s="12">
        <v>1</v>
      </c>
      <c r="CE24" s="12">
        <v>1</v>
      </c>
      <c r="CF24" s="12">
        <v>1</v>
      </c>
      <c r="CG24" s="12">
        <v>1</v>
      </c>
      <c r="CH24" s="12">
        <v>1</v>
      </c>
      <c r="CI24" s="22">
        <f t="shared" si="3"/>
        <v>19</v>
      </c>
      <c r="CJ24" s="22">
        <f t="shared" si="4"/>
        <v>55</v>
      </c>
    </row>
    <row r="25" spans="1:279" s="9" customFormat="1" x14ac:dyDescent="0.25">
      <c r="A25" s="158">
        <v>21</v>
      </c>
      <c r="B25" s="122" t="s">
        <v>102</v>
      </c>
      <c r="C25" s="126" t="s">
        <v>20</v>
      </c>
      <c r="D25" s="18" t="s">
        <v>20</v>
      </c>
      <c r="E25" s="10"/>
      <c r="F25" s="35" t="s">
        <v>110</v>
      </c>
      <c r="G25" s="10"/>
      <c r="H25" s="64" t="s">
        <v>110</v>
      </c>
      <c r="I25" s="95"/>
      <c r="J25" s="88"/>
      <c r="K25" s="7"/>
      <c r="L25" s="7"/>
      <c r="M25" s="7"/>
      <c r="N25" s="7"/>
      <c r="O25" s="7"/>
      <c r="P25" s="7"/>
      <c r="Q25" s="7"/>
      <c r="R25" s="7"/>
      <c r="S25" s="7"/>
      <c r="T25" s="7"/>
      <c r="U25" s="75"/>
      <c r="V25" s="102" t="s">
        <v>188</v>
      </c>
      <c r="W25" s="74">
        <v>4</v>
      </c>
      <c r="X25" s="105">
        <f t="shared" si="5"/>
        <v>36</v>
      </c>
      <c r="Y25" s="100">
        <v>4</v>
      </c>
      <c r="Z25" s="107">
        <f>+CI25</f>
        <v>19</v>
      </c>
      <c r="AA25" s="107">
        <f t="shared" si="1"/>
        <v>55</v>
      </c>
      <c r="AB25" s="99"/>
      <c r="AC25" s="12"/>
      <c r="AD25" s="12">
        <v>1</v>
      </c>
      <c r="AE25" s="12">
        <v>1</v>
      </c>
      <c r="AF25" s="12">
        <v>1</v>
      </c>
      <c r="AG25" s="12">
        <v>1</v>
      </c>
      <c r="AH25" s="12">
        <v>1</v>
      </c>
      <c r="AI25" s="12">
        <v>1</v>
      </c>
      <c r="AJ25" s="12">
        <v>1</v>
      </c>
      <c r="AK25" s="12">
        <v>1</v>
      </c>
      <c r="AL25" s="12">
        <v>1</v>
      </c>
      <c r="AM25" s="12">
        <v>1</v>
      </c>
      <c r="AN25" s="12">
        <v>1</v>
      </c>
      <c r="AO25" s="12">
        <v>1</v>
      </c>
      <c r="AP25" s="12">
        <v>1</v>
      </c>
      <c r="AQ25" s="12">
        <v>1</v>
      </c>
      <c r="AR25" s="12">
        <v>1</v>
      </c>
      <c r="AS25" s="12">
        <v>1</v>
      </c>
      <c r="AT25" s="12">
        <v>1</v>
      </c>
      <c r="AU25" s="12">
        <v>1</v>
      </c>
      <c r="AV25" s="12">
        <v>1</v>
      </c>
      <c r="AW25" s="12">
        <v>1</v>
      </c>
      <c r="AX25" s="12">
        <v>1</v>
      </c>
      <c r="AY25" s="12">
        <v>1</v>
      </c>
      <c r="AZ25" s="12">
        <v>1</v>
      </c>
      <c r="BA25" s="12">
        <v>1</v>
      </c>
      <c r="BB25" s="12">
        <v>1</v>
      </c>
      <c r="BC25" s="12">
        <v>1</v>
      </c>
      <c r="BD25" s="12">
        <v>1</v>
      </c>
      <c r="BE25" s="12">
        <v>1</v>
      </c>
      <c r="BF25" s="12">
        <v>1</v>
      </c>
      <c r="BG25" s="12">
        <v>1</v>
      </c>
      <c r="BH25" s="12">
        <v>1</v>
      </c>
      <c r="BI25" s="12">
        <v>1</v>
      </c>
      <c r="BJ25" s="12">
        <v>1</v>
      </c>
      <c r="BK25" s="12">
        <v>1</v>
      </c>
      <c r="BL25" s="12">
        <v>1</v>
      </c>
      <c r="BM25" s="12">
        <v>1</v>
      </c>
      <c r="BN25" s="22">
        <f t="shared" si="6"/>
        <v>36</v>
      </c>
      <c r="BP25" s="12">
        <v>1</v>
      </c>
      <c r="BQ25" s="12">
        <v>1</v>
      </c>
      <c r="BR25" s="12">
        <v>1</v>
      </c>
      <c r="BS25" s="12">
        <v>1</v>
      </c>
      <c r="BT25" s="12">
        <v>1</v>
      </c>
      <c r="BU25" s="12">
        <v>1</v>
      </c>
      <c r="BV25" s="12">
        <v>1</v>
      </c>
      <c r="BW25" s="12">
        <v>1</v>
      </c>
      <c r="BX25" s="12">
        <v>1</v>
      </c>
      <c r="BY25" s="12">
        <v>1</v>
      </c>
      <c r="BZ25" s="12">
        <v>1</v>
      </c>
      <c r="CA25" s="12">
        <v>1</v>
      </c>
      <c r="CB25" s="12">
        <v>1</v>
      </c>
      <c r="CC25" s="12">
        <v>1</v>
      </c>
      <c r="CD25" s="12">
        <v>1</v>
      </c>
      <c r="CE25" s="12">
        <v>1</v>
      </c>
      <c r="CF25" s="12">
        <v>1</v>
      </c>
      <c r="CG25" s="12">
        <v>1</v>
      </c>
      <c r="CH25" s="12">
        <v>1</v>
      </c>
      <c r="CI25" s="22">
        <f t="shared" si="3"/>
        <v>19</v>
      </c>
      <c r="CJ25" s="22">
        <f t="shared" si="4"/>
        <v>55</v>
      </c>
    </row>
    <row r="26" spans="1:279" s="9" customFormat="1" ht="15.75" thickBot="1" x14ac:dyDescent="0.3">
      <c r="A26" s="158">
        <v>22</v>
      </c>
      <c r="B26" s="123" t="s">
        <v>83</v>
      </c>
      <c r="C26" s="125"/>
      <c r="D26" s="62"/>
      <c r="E26" s="62"/>
      <c r="F26" s="62"/>
      <c r="G26" s="62"/>
      <c r="H26" s="63"/>
      <c r="I26" s="94"/>
      <c r="J26" s="89"/>
      <c r="K26" s="70"/>
      <c r="L26" s="70"/>
      <c r="M26" s="70"/>
      <c r="N26" s="70"/>
      <c r="O26" s="70"/>
      <c r="P26" s="70"/>
      <c r="Q26" s="70"/>
      <c r="R26" s="70"/>
      <c r="S26" s="70"/>
      <c r="T26" s="70"/>
      <c r="U26" s="71"/>
      <c r="V26" s="102" t="s">
        <v>188</v>
      </c>
      <c r="W26" s="74" t="s">
        <v>118</v>
      </c>
      <c r="X26" s="105">
        <f t="shared" si="0"/>
        <v>410</v>
      </c>
      <c r="Y26" s="100">
        <v>22</v>
      </c>
      <c r="Z26" s="107">
        <f>+CI26</f>
        <v>418</v>
      </c>
      <c r="AA26" s="107">
        <f t="shared" si="1"/>
        <v>828</v>
      </c>
      <c r="AB26" s="99"/>
      <c r="AC26" s="12"/>
      <c r="AD26" s="12"/>
      <c r="AE26" s="12"/>
      <c r="AF26" s="12"/>
      <c r="AG26" s="12">
        <v>6</v>
      </c>
      <c r="AH26" s="12">
        <v>12</v>
      </c>
      <c r="AI26" s="12">
        <v>12</v>
      </c>
      <c r="AJ26" s="12">
        <v>12</v>
      </c>
      <c r="AK26" s="12">
        <v>12</v>
      </c>
      <c r="AL26" s="12">
        <v>12</v>
      </c>
      <c r="AM26" s="12">
        <v>12</v>
      </c>
      <c r="AN26" s="12">
        <v>12</v>
      </c>
      <c r="AO26" s="12">
        <v>12</v>
      </c>
      <c r="AP26" s="12">
        <v>12</v>
      </c>
      <c r="AQ26" s="12">
        <v>12</v>
      </c>
      <c r="AR26" s="12">
        <v>12</v>
      </c>
      <c r="AS26" s="12">
        <v>12</v>
      </c>
      <c r="AT26" s="12">
        <v>12</v>
      </c>
      <c r="AU26" s="12">
        <v>12</v>
      </c>
      <c r="AV26" s="12">
        <v>12</v>
      </c>
      <c r="AW26" s="12">
        <v>12</v>
      </c>
      <c r="AX26" s="12">
        <v>12</v>
      </c>
      <c r="AY26" s="12">
        <v>12</v>
      </c>
      <c r="AZ26" s="12">
        <v>12</v>
      </c>
      <c r="BA26" s="12">
        <v>12</v>
      </c>
      <c r="BB26" s="12">
        <v>12</v>
      </c>
      <c r="BC26" s="12">
        <v>12</v>
      </c>
      <c r="BD26" s="12">
        <v>12</v>
      </c>
      <c r="BE26" s="12">
        <v>16</v>
      </c>
      <c r="BF26" s="12">
        <v>16</v>
      </c>
      <c r="BG26" s="12">
        <v>16</v>
      </c>
      <c r="BH26" s="12">
        <v>16</v>
      </c>
      <c r="BI26" s="12">
        <v>16</v>
      </c>
      <c r="BJ26" s="12">
        <v>16</v>
      </c>
      <c r="BK26" s="12">
        <v>16</v>
      </c>
      <c r="BL26" s="12">
        <v>8</v>
      </c>
      <c r="BM26" s="12">
        <v>8</v>
      </c>
      <c r="BN26" s="22">
        <f t="shared" si="2"/>
        <v>410</v>
      </c>
      <c r="BP26" s="12">
        <v>22</v>
      </c>
      <c r="BQ26" s="12">
        <v>22</v>
      </c>
      <c r="BR26" s="12">
        <v>22</v>
      </c>
      <c r="BS26" s="12">
        <v>22</v>
      </c>
      <c r="BT26" s="12">
        <v>22</v>
      </c>
      <c r="BU26" s="12">
        <v>22</v>
      </c>
      <c r="BV26" s="12">
        <v>22</v>
      </c>
      <c r="BW26" s="12">
        <v>22</v>
      </c>
      <c r="BX26" s="12">
        <v>22</v>
      </c>
      <c r="BY26" s="12">
        <v>22</v>
      </c>
      <c r="BZ26" s="12">
        <v>22</v>
      </c>
      <c r="CA26" s="12">
        <v>22</v>
      </c>
      <c r="CB26" s="12">
        <v>22</v>
      </c>
      <c r="CC26" s="12">
        <v>22</v>
      </c>
      <c r="CD26" s="12">
        <v>22</v>
      </c>
      <c r="CE26" s="12">
        <v>22</v>
      </c>
      <c r="CF26" s="12">
        <v>22</v>
      </c>
      <c r="CG26" s="12">
        <v>22</v>
      </c>
      <c r="CH26" s="12">
        <v>22</v>
      </c>
      <c r="CI26" s="22">
        <f t="shared" si="3"/>
        <v>418</v>
      </c>
      <c r="CJ26" s="22">
        <f t="shared" si="4"/>
        <v>828</v>
      </c>
    </row>
    <row r="27" spans="1:279" s="9" customFormat="1" ht="5.25" customHeight="1" thickBot="1" x14ac:dyDescent="0.3">
      <c r="A27" s="128"/>
      <c r="B27" s="16"/>
      <c r="C27" s="128"/>
      <c r="F27" s="36"/>
      <c r="W27" s="74"/>
      <c r="X27" s="105"/>
      <c r="Y27" s="100"/>
      <c r="Z27" s="105"/>
      <c r="AA27" s="105"/>
      <c r="BN27" s="16"/>
      <c r="CJ27" s="22"/>
    </row>
    <row r="28" spans="1:279" s="9" customFormat="1" ht="15.75" thickBot="1" x14ac:dyDescent="0.3">
      <c r="A28" s="158">
        <v>23</v>
      </c>
      <c r="B28" s="124" t="s">
        <v>82</v>
      </c>
      <c r="C28" s="125"/>
      <c r="D28" s="62"/>
      <c r="E28" s="62"/>
      <c r="F28" s="62"/>
      <c r="G28" s="62"/>
      <c r="H28" s="62"/>
      <c r="I28" s="92"/>
      <c r="J28" s="90"/>
      <c r="K28" s="77"/>
      <c r="L28" s="77"/>
      <c r="M28" s="77"/>
      <c r="N28" s="77"/>
      <c r="O28" s="77"/>
      <c r="P28" s="77"/>
      <c r="Q28" s="77"/>
      <c r="R28" s="77"/>
      <c r="S28" s="77"/>
      <c r="T28" s="77"/>
      <c r="U28" s="78"/>
      <c r="V28" s="103" t="s">
        <v>188</v>
      </c>
      <c r="W28" s="74" t="s">
        <v>118</v>
      </c>
      <c r="X28" s="105">
        <f t="shared" si="0"/>
        <v>10</v>
      </c>
      <c r="Y28" s="74" t="s">
        <v>118</v>
      </c>
      <c r="Z28" s="107">
        <f>+CI28</f>
        <v>8</v>
      </c>
      <c r="AA28" s="107">
        <f t="shared" si="1"/>
        <v>18</v>
      </c>
      <c r="AB28" s="100"/>
      <c r="AC28" s="10"/>
      <c r="AD28" s="10"/>
      <c r="AE28" s="10"/>
      <c r="AF28" s="10"/>
      <c r="AG28" s="10"/>
      <c r="AH28" s="10"/>
      <c r="AI28" s="10">
        <v>2</v>
      </c>
      <c r="AJ28" s="10"/>
      <c r="AK28" s="10"/>
      <c r="AL28" s="10"/>
      <c r="AM28" s="10"/>
      <c r="AN28" s="10"/>
      <c r="AO28" s="10"/>
      <c r="AP28" s="10"/>
      <c r="AQ28" s="10">
        <v>2</v>
      </c>
      <c r="AR28" s="10"/>
      <c r="AS28" s="10"/>
      <c r="AT28" s="10"/>
      <c r="AU28" s="10"/>
      <c r="AV28" s="10"/>
      <c r="AW28" s="10"/>
      <c r="AX28" s="10"/>
      <c r="AY28" s="10">
        <v>2</v>
      </c>
      <c r="AZ28" s="10"/>
      <c r="BA28" s="10"/>
      <c r="BB28" s="10"/>
      <c r="BC28" s="10"/>
      <c r="BD28" s="10"/>
      <c r="BE28" s="10"/>
      <c r="BF28" s="10"/>
      <c r="BG28" s="10">
        <v>2</v>
      </c>
      <c r="BH28" s="10"/>
      <c r="BI28" s="10"/>
      <c r="BJ28" s="10"/>
      <c r="BK28" s="10"/>
      <c r="BL28" s="10"/>
      <c r="BM28" s="10">
        <v>2</v>
      </c>
      <c r="BN28" s="22">
        <f t="shared" si="2"/>
        <v>10</v>
      </c>
      <c r="BP28" s="10"/>
      <c r="BQ28" s="10"/>
      <c r="BR28" s="10"/>
      <c r="BS28" s="10"/>
      <c r="BT28" s="10"/>
      <c r="BU28" s="10"/>
      <c r="BV28" s="10"/>
      <c r="BW28" s="10">
        <v>4</v>
      </c>
      <c r="BX28" s="10"/>
      <c r="BY28" s="10"/>
      <c r="BZ28" s="10"/>
      <c r="CA28" s="10"/>
      <c r="CB28" s="10"/>
      <c r="CC28" s="10"/>
      <c r="CD28" s="10"/>
      <c r="CE28" s="10"/>
      <c r="CF28" s="10"/>
      <c r="CG28" s="10"/>
      <c r="CH28" s="10">
        <v>4</v>
      </c>
      <c r="CI28" s="22">
        <f t="shared" ref="CI28:CI30" si="7">SUM(BP28:CH28)</f>
        <v>8</v>
      </c>
      <c r="CJ28" s="22">
        <f t="shared" si="4"/>
        <v>18</v>
      </c>
    </row>
    <row r="29" spans="1:279" s="9" customFormat="1" ht="5.25" customHeight="1" thickBot="1" x14ac:dyDescent="0.3">
      <c r="A29" s="128"/>
      <c r="B29" s="16"/>
      <c r="C29" s="128"/>
      <c r="F29" s="36"/>
      <c r="W29" s="74"/>
      <c r="X29" s="105"/>
      <c r="Y29" s="100"/>
      <c r="Z29" s="105"/>
      <c r="AA29" s="105"/>
      <c r="BN29" s="16"/>
      <c r="CJ29" s="22"/>
    </row>
    <row r="30" spans="1:279" s="9" customFormat="1" ht="106.5" customHeight="1" thickBot="1" x14ac:dyDescent="0.3">
      <c r="A30" s="158">
        <v>24</v>
      </c>
      <c r="B30" s="160" t="s">
        <v>98</v>
      </c>
      <c r="C30" s="129"/>
      <c r="D30" s="130"/>
      <c r="E30" s="130"/>
      <c r="F30" s="130"/>
      <c r="G30" s="130"/>
      <c r="H30" s="130"/>
      <c r="I30" s="91"/>
      <c r="J30" s="90"/>
      <c r="K30" s="77"/>
      <c r="L30" s="77"/>
      <c r="M30" s="77"/>
      <c r="N30" s="77"/>
      <c r="O30" s="77"/>
      <c r="P30" s="77"/>
      <c r="Q30" s="77"/>
      <c r="R30" s="77"/>
      <c r="S30" s="77"/>
      <c r="T30" s="77"/>
      <c r="U30" s="78"/>
      <c r="V30" s="131" t="s">
        <v>188</v>
      </c>
      <c r="W30" s="76" t="s">
        <v>118</v>
      </c>
      <c r="X30" s="106">
        <f t="shared" si="0"/>
        <v>97</v>
      </c>
      <c r="Y30" s="76" t="s">
        <v>118</v>
      </c>
      <c r="Z30" s="132">
        <f>+CI30</f>
        <v>90</v>
      </c>
      <c r="AA30" s="132">
        <f t="shared" si="1"/>
        <v>187</v>
      </c>
      <c r="AB30" s="98">
        <v>1</v>
      </c>
      <c r="AC30" s="14">
        <v>2</v>
      </c>
      <c r="AD30" s="10">
        <v>0</v>
      </c>
      <c r="AE30" s="10">
        <v>0</v>
      </c>
      <c r="AF30" s="10">
        <v>0</v>
      </c>
      <c r="AG30" s="10">
        <v>1</v>
      </c>
      <c r="AH30" s="10">
        <v>1</v>
      </c>
      <c r="AI30" s="10">
        <v>5</v>
      </c>
      <c r="AJ30" s="10">
        <v>1</v>
      </c>
      <c r="AK30" s="10">
        <v>1</v>
      </c>
      <c r="AL30" s="10">
        <v>1</v>
      </c>
      <c r="AM30" s="10">
        <v>3</v>
      </c>
      <c r="AN30" s="10">
        <v>2</v>
      </c>
      <c r="AO30" s="10">
        <v>3</v>
      </c>
      <c r="AP30" s="10">
        <v>3</v>
      </c>
      <c r="AQ30" s="10">
        <v>1</v>
      </c>
      <c r="AR30" s="10">
        <v>3</v>
      </c>
      <c r="AS30" s="10">
        <v>3</v>
      </c>
      <c r="AT30" s="10">
        <v>3</v>
      </c>
      <c r="AU30" s="10">
        <v>1</v>
      </c>
      <c r="AV30" s="10">
        <v>3</v>
      </c>
      <c r="AW30" s="10">
        <v>3</v>
      </c>
      <c r="AX30" s="10">
        <v>1</v>
      </c>
      <c r="AY30" s="10">
        <v>5</v>
      </c>
      <c r="AZ30" s="10">
        <v>6</v>
      </c>
      <c r="BA30" s="10">
        <v>1</v>
      </c>
      <c r="BB30" s="10">
        <v>3</v>
      </c>
      <c r="BC30" s="10">
        <v>5</v>
      </c>
      <c r="BD30" s="10">
        <v>3</v>
      </c>
      <c r="BE30" s="10">
        <v>3</v>
      </c>
      <c r="BF30" s="10">
        <v>3</v>
      </c>
      <c r="BG30" s="10">
        <v>1</v>
      </c>
      <c r="BH30" s="10">
        <v>3</v>
      </c>
      <c r="BI30" s="10">
        <v>3</v>
      </c>
      <c r="BJ30" s="10">
        <v>3</v>
      </c>
      <c r="BK30" s="10">
        <v>1</v>
      </c>
      <c r="BL30" s="10">
        <v>8</v>
      </c>
      <c r="BM30" s="10">
        <v>7</v>
      </c>
      <c r="BN30" s="22">
        <f t="shared" si="2"/>
        <v>97</v>
      </c>
      <c r="BP30" s="10">
        <v>5</v>
      </c>
      <c r="BQ30" s="10">
        <v>5</v>
      </c>
      <c r="BR30" s="10">
        <v>5</v>
      </c>
      <c r="BS30" s="10">
        <v>5</v>
      </c>
      <c r="BT30" s="10">
        <v>5</v>
      </c>
      <c r="BU30" s="10">
        <v>5</v>
      </c>
      <c r="BV30" s="10">
        <v>5</v>
      </c>
      <c r="BW30" s="10">
        <v>3</v>
      </c>
      <c r="BX30" s="10">
        <v>5</v>
      </c>
      <c r="BY30" s="10">
        <v>5</v>
      </c>
      <c r="BZ30" s="10">
        <v>5</v>
      </c>
      <c r="CA30" s="10">
        <v>5</v>
      </c>
      <c r="CB30" s="10">
        <v>5</v>
      </c>
      <c r="CC30" s="10">
        <v>5</v>
      </c>
      <c r="CD30" s="10">
        <v>5</v>
      </c>
      <c r="CE30" s="10">
        <v>5</v>
      </c>
      <c r="CF30" s="10">
        <v>5</v>
      </c>
      <c r="CG30" s="10">
        <v>4</v>
      </c>
      <c r="CH30" s="10">
        <v>3</v>
      </c>
      <c r="CI30" s="22">
        <f t="shared" si="7"/>
        <v>90</v>
      </c>
      <c r="CJ30" s="22">
        <f t="shared" si="4"/>
        <v>187</v>
      </c>
    </row>
    <row r="31" spans="1:279" s="3" customFormat="1" ht="16.5" thickBot="1" x14ac:dyDescent="0.3">
      <c r="E31" s="9"/>
      <c r="F31" s="36"/>
      <c r="G31" s="9"/>
      <c r="H31" s="9"/>
      <c r="X31" s="104">
        <f>SUM(X3:X30)</f>
        <v>1330</v>
      </c>
      <c r="Z31" s="104">
        <f>SUM(Z3:Z30)</f>
        <v>665</v>
      </c>
      <c r="AA31" s="104">
        <f t="shared" ref="AA31:BN31" si="8">SUM(AA3:AA30)</f>
        <v>1995</v>
      </c>
      <c r="AB31" s="100">
        <f t="shared" si="8"/>
        <v>35</v>
      </c>
      <c r="AC31" s="10">
        <f t="shared" si="8"/>
        <v>35</v>
      </c>
      <c r="AD31" s="10">
        <f t="shared" si="8"/>
        <v>35</v>
      </c>
      <c r="AE31" s="10">
        <f t="shared" si="8"/>
        <v>35</v>
      </c>
      <c r="AF31" s="10">
        <f t="shared" si="8"/>
        <v>35</v>
      </c>
      <c r="AG31" s="10">
        <f t="shared" si="8"/>
        <v>35</v>
      </c>
      <c r="AH31" s="10">
        <f t="shared" si="8"/>
        <v>35</v>
      </c>
      <c r="AI31" s="10">
        <f t="shared" si="8"/>
        <v>35</v>
      </c>
      <c r="AJ31" s="10">
        <f t="shared" si="8"/>
        <v>35</v>
      </c>
      <c r="AK31" s="10">
        <f t="shared" si="8"/>
        <v>35</v>
      </c>
      <c r="AL31" s="10">
        <f t="shared" si="8"/>
        <v>35</v>
      </c>
      <c r="AM31" s="10">
        <f t="shared" si="8"/>
        <v>35</v>
      </c>
      <c r="AN31" s="10">
        <f t="shared" si="8"/>
        <v>35</v>
      </c>
      <c r="AO31" s="10">
        <f t="shared" si="8"/>
        <v>35</v>
      </c>
      <c r="AP31" s="10">
        <f t="shared" si="8"/>
        <v>35</v>
      </c>
      <c r="AQ31" s="10">
        <f t="shared" si="8"/>
        <v>35</v>
      </c>
      <c r="AR31" s="10">
        <f t="shared" si="8"/>
        <v>35</v>
      </c>
      <c r="AS31" s="10">
        <f t="shared" si="8"/>
        <v>35</v>
      </c>
      <c r="AT31" s="10">
        <f t="shared" si="8"/>
        <v>35</v>
      </c>
      <c r="AU31" s="10">
        <f t="shared" si="8"/>
        <v>35</v>
      </c>
      <c r="AV31" s="10">
        <f t="shared" si="8"/>
        <v>35</v>
      </c>
      <c r="AW31" s="10">
        <f t="shared" si="8"/>
        <v>35</v>
      </c>
      <c r="AX31" s="10">
        <f t="shared" si="8"/>
        <v>35</v>
      </c>
      <c r="AY31" s="10">
        <f t="shared" si="8"/>
        <v>35</v>
      </c>
      <c r="AZ31" s="10">
        <f t="shared" si="8"/>
        <v>35</v>
      </c>
      <c r="BA31" s="10">
        <f t="shared" si="8"/>
        <v>35</v>
      </c>
      <c r="BB31" s="10">
        <f t="shared" si="8"/>
        <v>35</v>
      </c>
      <c r="BC31" s="10">
        <f t="shared" si="8"/>
        <v>35</v>
      </c>
      <c r="BD31" s="10">
        <f t="shared" si="8"/>
        <v>35</v>
      </c>
      <c r="BE31" s="10">
        <f t="shared" si="8"/>
        <v>35</v>
      </c>
      <c r="BF31" s="10">
        <f t="shared" si="8"/>
        <v>35</v>
      </c>
      <c r="BG31" s="10">
        <f t="shared" si="8"/>
        <v>35</v>
      </c>
      <c r="BH31" s="10">
        <f t="shared" si="8"/>
        <v>35</v>
      </c>
      <c r="BI31" s="10">
        <f t="shared" si="8"/>
        <v>35</v>
      </c>
      <c r="BJ31" s="10">
        <f t="shared" si="8"/>
        <v>35</v>
      </c>
      <c r="BK31" s="10">
        <f t="shared" si="8"/>
        <v>35</v>
      </c>
      <c r="BL31" s="10">
        <f t="shared" si="8"/>
        <v>35</v>
      </c>
      <c r="BM31" s="10">
        <f t="shared" si="8"/>
        <v>35</v>
      </c>
      <c r="BN31" s="96">
        <f t="shared" si="8"/>
        <v>1330</v>
      </c>
      <c r="BP31" s="10">
        <f t="shared" ref="BP31:CJ31" si="9">SUM(BP3:BP30)</f>
        <v>35</v>
      </c>
      <c r="BQ31" s="10">
        <f t="shared" si="9"/>
        <v>35</v>
      </c>
      <c r="BR31" s="10">
        <f t="shared" si="9"/>
        <v>35</v>
      </c>
      <c r="BS31" s="10">
        <f t="shared" si="9"/>
        <v>35</v>
      </c>
      <c r="BT31" s="10">
        <f t="shared" si="9"/>
        <v>35</v>
      </c>
      <c r="BU31" s="10">
        <f t="shared" si="9"/>
        <v>35</v>
      </c>
      <c r="BV31" s="10">
        <f t="shared" si="9"/>
        <v>35</v>
      </c>
      <c r="BW31" s="10">
        <f t="shared" si="9"/>
        <v>35</v>
      </c>
      <c r="BX31" s="10">
        <f t="shared" si="9"/>
        <v>35</v>
      </c>
      <c r="BY31" s="10">
        <f t="shared" si="9"/>
        <v>35</v>
      </c>
      <c r="BZ31" s="10">
        <f t="shared" si="9"/>
        <v>35</v>
      </c>
      <c r="CA31" s="10">
        <f t="shared" si="9"/>
        <v>35</v>
      </c>
      <c r="CB31" s="10">
        <f t="shared" si="9"/>
        <v>35</v>
      </c>
      <c r="CC31" s="10">
        <f t="shared" si="9"/>
        <v>35</v>
      </c>
      <c r="CD31" s="10">
        <f t="shared" si="9"/>
        <v>35</v>
      </c>
      <c r="CE31" s="10">
        <f t="shared" si="9"/>
        <v>35</v>
      </c>
      <c r="CF31" s="10">
        <f t="shared" si="9"/>
        <v>35</v>
      </c>
      <c r="CG31" s="10">
        <f t="shared" si="9"/>
        <v>35</v>
      </c>
      <c r="CH31" s="10">
        <f t="shared" si="9"/>
        <v>35</v>
      </c>
      <c r="CI31" s="96">
        <f t="shared" si="9"/>
        <v>665</v>
      </c>
      <c r="CJ31" s="96">
        <f t="shared" si="9"/>
        <v>1995</v>
      </c>
    </row>
  </sheetData>
  <mergeCells count="11">
    <mergeCell ref="AZ1:BC1"/>
    <mergeCell ref="BD1:BG1"/>
    <mergeCell ref="BH1:BK1"/>
    <mergeCell ref="B15:B16"/>
    <mergeCell ref="V15:V16"/>
    <mergeCell ref="AB1:AE1"/>
    <mergeCell ref="AF1:AI1"/>
    <mergeCell ref="AJ1:AM1"/>
    <mergeCell ref="AN1:AQ1"/>
    <mergeCell ref="AR1:AU1"/>
    <mergeCell ref="AV1:AY1"/>
  </mergeCells>
  <printOptions horizontalCentered="1" verticalCentered="1"/>
  <pageMargins left="0.23622047244094491" right="0.23622047244094491" top="0.74803149606299213" bottom="0.74803149606299213" header="0.31496062992125984" footer="0.31496062992125984"/>
  <pageSetup scale="5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9B1FB-5B18-43ED-B95E-36DCBE43FCD5}">
  <sheetPr>
    <pageSetUpPr fitToPage="1"/>
  </sheetPr>
  <dimension ref="A1:JN31"/>
  <sheetViews>
    <sheetView topLeftCell="A2" zoomScale="130" zoomScaleNormal="130" workbookViewId="0">
      <pane xSplit="6" ySplit="1" topLeftCell="CA20" activePane="bottomRight" state="frozen"/>
      <selection activeCell="A2" sqref="A2"/>
      <selection pane="topRight" activeCell="I2" sqref="I2"/>
      <selection pane="bottomLeft" activeCell="A3" sqref="A3"/>
      <selection pane="bottomRight" activeCell="CG2" sqref="CG2"/>
    </sheetView>
  </sheetViews>
  <sheetFormatPr baseColWidth="10" defaultColWidth="11.42578125" defaultRowHeight="15" x14ac:dyDescent="0.25"/>
  <cols>
    <col min="1" max="1" width="3" style="3" bestFit="1" customWidth="1"/>
    <col min="2" max="2" width="57.7109375" customWidth="1"/>
    <col min="3" max="3" width="15.7109375" style="8" customWidth="1"/>
    <col min="4" max="4" width="15.7109375" style="34" customWidth="1"/>
    <col min="5" max="5" width="8.85546875" style="8" customWidth="1"/>
    <col min="6" max="6" width="14.7109375" style="8" customWidth="1"/>
    <col min="7" max="14" width="3.7109375" bestFit="1" customWidth="1"/>
    <col min="15" max="16" width="3.7109375" customWidth="1"/>
    <col min="17" max="19" width="3.7109375" bestFit="1" customWidth="1"/>
    <col min="20" max="20" width="5.85546875" style="21" bestFit="1" customWidth="1"/>
    <col min="21" max="21" width="4.7109375" style="21" bestFit="1" customWidth="1"/>
    <col min="22" max="22" width="5.85546875" style="21" bestFit="1" customWidth="1"/>
    <col min="23" max="60" width="3.7109375" bestFit="1" customWidth="1"/>
    <col min="61" max="61" width="5.85546875" style="21" bestFit="1" customWidth="1"/>
    <col min="62" max="62" width="1.5703125" customWidth="1"/>
    <col min="63" max="81" width="3.7109375" bestFit="1" customWidth="1"/>
    <col min="82" max="82" width="5.42578125" bestFit="1" customWidth="1"/>
    <col min="83" max="83" width="9.42578125" bestFit="1" customWidth="1"/>
  </cols>
  <sheetData>
    <row r="1" spans="1:274" ht="15.75" thickBot="1" x14ac:dyDescent="0.3">
      <c r="W1" s="371" t="s">
        <v>87</v>
      </c>
      <c r="X1" s="372"/>
      <c r="Y1" s="372"/>
      <c r="Z1" s="372"/>
      <c r="AA1" s="371" t="s">
        <v>88</v>
      </c>
      <c r="AB1" s="372"/>
      <c r="AC1" s="372"/>
      <c r="AD1" s="372"/>
      <c r="AE1" s="371" t="s">
        <v>89</v>
      </c>
      <c r="AF1" s="372"/>
      <c r="AG1" s="372"/>
      <c r="AH1" s="372"/>
      <c r="AI1" s="371" t="s">
        <v>90</v>
      </c>
      <c r="AJ1" s="372"/>
      <c r="AK1" s="372"/>
      <c r="AL1" s="372"/>
      <c r="AM1" s="371" t="s">
        <v>91</v>
      </c>
      <c r="AN1" s="372"/>
      <c r="AO1" s="372"/>
      <c r="AP1" s="372"/>
      <c r="AQ1" s="371" t="s">
        <v>92</v>
      </c>
      <c r="AR1" s="372"/>
      <c r="AS1" s="372"/>
      <c r="AT1" s="372"/>
      <c r="AU1" s="371" t="s">
        <v>93</v>
      </c>
      <c r="AV1" s="372"/>
      <c r="AW1" s="372"/>
      <c r="AX1" s="372"/>
      <c r="AY1" s="371" t="s">
        <v>94</v>
      </c>
      <c r="AZ1" s="372"/>
      <c r="BA1" s="372"/>
      <c r="BB1" s="372"/>
      <c r="BC1" s="371" t="s">
        <v>95</v>
      </c>
      <c r="BD1" s="372"/>
      <c r="BE1" s="372"/>
      <c r="BF1" s="372"/>
    </row>
    <row r="2" spans="1:274" ht="125.25" thickBot="1" x14ac:dyDescent="0.35">
      <c r="B2" s="161" t="s">
        <v>205</v>
      </c>
      <c r="C2" s="135" t="s">
        <v>106</v>
      </c>
      <c r="D2" s="134" t="s">
        <v>107</v>
      </c>
      <c r="E2" s="134" t="s">
        <v>109</v>
      </c>
      <c r="F2" s="136" t="s">
        <v>31</v>
      </c>
      <c r="G2" s="137" t="s">
        <v>30</v>
      </c>
      <c r="H2" s="138" t="s">
        <v>32</v>
      </c>
      <c r="I2" s="139" t="s">
        <v>33</v>
      </c>
      <c r="J2" s="139" t="s">
        <v>34</v>
      </c>
      <c r="K2" s="139" t="s">
        <v>35</v>
      </c>
      <c r="L2" s="139" t="s">
        <v>36</v>
      </c>
      <c r="M2" s="139" t="s">
        <v>39</v>
      </c>
      <c r="N2" s="139" t="s">
        <v>37</v>
      </c>
      <c r="O2" s="139" t="s">
        <v>9</v>
      </c>
      <c r="P2" s="139" t="s">
        <v>40</v>
      </c>
      <c r="Q2" s="139" t="s">
        <v>10</v>
      </c>
      <c r="R2" s="139" t="s">
        <v>22</v>
      </c>
      <c r="S2" s="167" t="s">
        <v>38</v>
      </c>
      <c r="T2" s="173" t="s">
        <v>206</v>
      </c>
      <c r="U2" s="173" t="s">
        <v>207</v>
      </c>
      <c r="V2" s="173" t="s">
        <v>191</v>
      </c>
      <c r="W2" s="97" t="s">
        <v>44</v>
      </c>
      <c r="X2" s="19" t="s">
        <v>45</v>
      </c>
      <c r="Y2" s="19" t="s">
        <v>46</v>
      </c>
      <c r="Z2" s="19" t="s">
        <v>47</v>
      </c>
      <c r="AA2" s="20" t="s">
        <v>48</v>
      </c>
      <c r="AB2" s="20" t="s">
        <v>49</v>
      </c>
      <c r="AC2" s="20" t="s">
        <v>50</v>
      </c>
      <c r="AD2" s="20" t="s">
        <v>51</v>
      </c>
      <c r="AE2" s="19" t="s">
        <v>52</v>
      </c>
      <c r="AF2" s="19" t="s">
        <v>53</v>
      </c>
      <c r="AG2" s="19" t="s">
        <v>54</v>
      </c>
      <c r="AH2" s="19" t="s">
        <v>55</v>
      </c>
      <c r="AI2" s="20" t="s">
        <v>56</v>
      </c>
      <c r="AJ2" s="20" t="s">
        <v>57</v>
      </c>
      <c r="AK2" s="20" t="s">
        <v>58</v>
      </c>
      <c r="AL2" s="20" t="s">
        <v>59</v>
      </c>
      <c r="AM2" s="19" t="s">
        <v>60</v>
      </c>
      <c r="AN2" s="19" t="s">
        <v>61</v>
      </c>
      <c r="AO2" s="19" t="s">
        <v>62</v>
      </c>
      <c r="AP2" s="19" t="s">
        <v>63</v>
      </c>
      <c r="AQ2" s="20" t="s">
        <v>64</v>
      </c>
      <c r="AR2" s="20" t="s">
        <v>65</v>
      </c>
      <c r="AS2" s="20" t="s">
        <v>66</v>
      </c>
      <c r="AT2" s="20" t="s">
        <v>67</v>
      </c>
      <c r="AU2" s="19" t="s">
        <v>68</v>
      </c>
      <c r="AV2" s="19" t="s">
        <v>69</v>
      </c>
      <c r="AW2" s="19" t="s">
        <v>70</v>
      </c>
      <c r="AX2" s="19" t="s">
        <v>71</v>
      </c>
      <c r="AY2" s="20" t="s">
        <v>72</v>
      </c>
      <c r="AZ2" s="20" t="s">
        <v>73</v>
      </c>
      <c r="BA2" s="20" t="s">
        <v>74</v>
      </c>
      <c r="BB2" s="20" t="s">
        <v>75</v>
      </c>
      <c r="BC2" s="19" t="s">
        <v>76</v>
      </c>
      <c r="BD2" s="19" t="s">
        <v>77</v>
      </c>
      <c r="BE2" s="19" t="s">
        <v>78</v>
      </c>
      <c r="BF2" s="19" t="s">
        <v>79</v>
      </c>
      <c r="BG2" s="20" t="s">
        <v>80</v>
      </c>
      <c r="BH2" s="20" t="s">
        <v>81</v>
      </c>
      <c r="BI2" s="1" t="s">
        <v>84</v>
      </c>
      <c r="BK2" s="19" t="s">
        <v>163</v>
      </c>
      <c r="BL2" s="19" t="s">
        <v>164</v>
      </c>
      <c r="BM2" s="19" t="s">
        <v>165</v>
      </c>
      <c r="BN2" s="19" t="s">
        <v>166</v>
      </c>
      <c r="BO2" s="20" t="s">
        <v>167</v>
      </c>
      <c r="BP2" s="20" t="s">
        <v>168</v>
      </c>
      <c r="BQ2" s="20" t="s">
        <v>169</v>
      </c>
      <c r="BR2" s="20" t="s">
        <v>170</v>
      </c>
      <c r="BS2" s="19" t="s">
        <v>171</v>
      </c>
      <c r="BT2" s="19" t="s">
        <v>172</v>
      </c>
      <c r="BU2" s="19" t="s">
        <v>173</v>
      </c>
      <c r="BV2" s="19" t="s">
        <v>174</v>
      </c>
      <c r="BW2" s="20" t="s">
        <v>175</v>
      </c>
      <c r="BX2" s="20" t="s">
        <v>176</v>
      </c>
      <c r="BY2" s="20" t="s">
        <v>177</v>
      </c>
      <c r="BZ2" s="20" t="s">
        <v>178</v>
      </c>
      <c r="CA2" s="19" t="s">
        <v>179</v>
      </c>
      <c r="CB2" s="19" t="s">
        <v>180</v>
      </c>
      <c r="CC2" s="19" t="s">
        <v>181</v>
      </c>
      <c r="CD2" s="1" t="s">
        <v>84</v>
      </c>
      <c r="CE2" s="61" t="s">
        <v>182</v>
      </c>
    </row>
    <row r="3" spans="1:274" s="3" customFormat="1" x14ac:dyDescent="0.25">
      <c r="A3" s="145">
        <v>1</v>
      </c>
      <c r="B3" s="146" t="s">
        <v>209</v>
      </c>
      <c r="C3" s="148"/>
      <c r="D3" s="148"/>
      <c r="E3" s="148"/>
      <c r="F3" s="149"/>
      <c r="G3" s="150"/>
      <c r="H3" s="151"/>
      <c r="I3" s="152"/>
      <c r="J3" s="152"/>
      <c r="K3" s="152"/>
      <c r="L3" s="152"/>
      <c r="M3" s="152"/>
      <c r="N3" s="152"/>
      <c r="O3" s="152"/>
      <c r="P3" s="152"/>
      <c r="Q3" s="152"/>
      <c r="R3" s="152"/>
      <c r="S3" s="162"/>
      <c r="T3" s="17">
        <f>+BI3</f>
        <v>76</v>
      </c>
      <c r="U3" s="17">
        <f>+CD3</f>
        <v>38</v>
      </c>
      <c r="V3" s="17">
        <f t="shared" ref="V3:V22" si="0">+T3+U3</f>
        <v>114</v>
      </c>
      <c r="W3" s="98">
        <v>2</v>
      </c>
      <c r="X3" s="14">
        <v>2</v>
      </c>
      <c r="Y3" s="14">
        <v>2</v>
      </c>
      <c r="Z3" s="14">
        <v>2</v>
      </c>
      <c r="AA3" s="10">
        <v>2</v>
      </c>
      <c r="AB3" s="10">
        <v>2</v>
      </c>
      <c r="AC3" s="10">
        <v>2</v>
      </c>
      <c r="AD3" s="10">
        <v>2</v>
      </c>
      <c r="AE3" s="14">
        <v>2</v>
      </c>
      <c r="AF3" s="14">
        <v>2</v>
      </c>
      <c r="AG3" s="14">
        <v>2</v>
      </c>
      <c r="AH3" s="14">
        <v>2</v>
      </c>
      <c r="AI3" s="10">
        <v>2</v>
      </c>
      <c r="AJ3" s="10">
        <v>2</v>
      </c>
      <c r="AK3" s="10">
        <v>2</v>
      </c>
      <c r="AL3" s="10">
        <v>2</v>
      </c>
      <c r="AM3" s="14">
        <v>2</v>
      </c>
      <c r="AN3" s="14">
        <v>2</v>
      </c>
      <c r="AO3" s="14">
        <v>2</v>
      </c>
      <c r="AP3" s="14">
        <v>2</v>
      </c>
      <c r="AQ3" s="10">
        <v>2</v>
      </c>
      <c r="AR3" s="10">
        <v>2</v>
      </c>
      <c r="AS3" s="10">
        <v>2</v>
      </c>
      <c r="AT3" s="10">
        <v>2</v>
      </c>
      <c r="AU3" s="14">
        <v>2</v>
      </c>
      <c r="AV3" s="14">
        <v>2</v>
      </c>
      <c r="AW3" s="14">
        <v>2</v>
      </c>
      <c r="AX3" s="14">
        <v>2</v>
      </c>
      <c r="AY3" s="10">
        <v>2</v>
      </c>
      <c r="AZ3" s="10">
        <v>2</v>
      </c>
      <c r="BA3" s="10">
        <v>2</v>
      </c>
      <c r="BB3" s="10">
        <v>2</v>
      </c>
      <c r="BC3" s="14">
        <v>2</v>
      </c>
      <c r="BD3" s="14">
        <v>2</v>
      </c>
      <c r="BE3" s="14">
        <v>2</v>
      </c>
      <c r="BF3" s="14">
        <v>2</v>
      </c>
      <c r="BG3" s="10">
        <v>2</v>
      </c>
      <c r="BH3" s="10">
        <v>2</v>
      </c>
      <c r="BI3" s="22">
        <f>SUM(W3:BH3)</f>
        <v>76</v>
      </c>
      <c r="BJ3" s="9"/>
      <c r="BK3" s="10">
        <v>2</v>
      </c>
      <c r="BL3" s="10">
        <v>2</v>
      </c>
      <c r="BM3" s="10">
        <v>2</v>
      </c>
      <c r="BN3" s="10">
        <v>2</v>
      </c>
      <c r="BO3" s="10">
        <v>2</v>
      </c>
      <c r="BP3" s="10">
        <v>2</v>
      </c>
      <c r="BQ3" s="10">
        <v>2</v>
      </c>
      <c r="BR3" s="10">
        <v>2</v>
      </c>
      <c r="BS3" s="10">
        <v>2</v>
      </c>
      <c r="BT3" s="10">
        <v>2</v>
      </c>
      <c r="BU3" s="10">
        <v>2</v>
      </c>
      <c r="BV3" s="10">
        <v>2</v>
      </c>
      <c r="BW3" s="10">
        <v>2</v>
      </c>
      <c r="BX3" s="10">
        <v>2</v>
      </c>
      <c r="BY3" s="10">
        <v>2</v>
      </c>
      <c r="BZ3" s="10">
        <v>2</v>
      </c>
      <c r="CA3" s="10">
        <v>2</v>
      </c>
      <c r="CB3" s="10">
        <v>2</v>
      </c>
      <c r="CC3" s="10">
        <v>2</v>
      </c>
      <c r="CD3" s="22">
        <f>SUM(BK3:CC3)</f>
        <v>38</v>
      </c>
      <c r="CE3" s="22">
        <f>+CD3+BI3</f>
        <v>114</v>
      </c>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row>
    <row r="4" spans="1:274" s="3" customFormat="1" x14ac:dyDescent="0.25">
      <c r="A4" s="158">
        <v>2</v>
      </c>
      <c r="B4" s="110" t="s">
        <v>4</v>
      </c>
      <c r="C4" s="62"/>
      <c r="D4" s="62"/>
      <c r="E4" s="62"/>
      <c r="F4" s="63"/>
      <c r="G4" s="83"/>
      <c r="H4" s="80"/>
      <c r="I4" s="23"/>
      <c r="J4" s="4"/>
      <c r="K4" s="4"/>
      <c r="L4" s="6"/>
      <c r="M4" s="6"/>
      <c r="N4" s="6"/>
      <c r="O4" s="6"/>
      <c r="P4" s="6"/>
      <c r="Q4" s="6"/>
      <c r="R4" s="6"/>
      <c r="S4" s="110"/>
      <c r="T4" s="17">
        <f t="shared" ref="T4:T30" si="1">+BI4</f>
        <v>4</v>
      </c>
      <c r="U4" s="17">
        <f>+CD4</f>
        <v>1</v>
      </c>
      <c r="V4" s="17">
        <f t="shared" si="0"/>
        <v>5</v>
      </c>
      <c r="W4" s="98">
        <v>1</v>
      </c>
      <c r="X4" s="14"/>
      <c r="Y4" s="14"/>
      <c r="Z4" s="14"/>
      <c r="AA4" s="10"/>
      <c r="AB4" s="10"/>
      <c r="AC4" s="10"/>
      <c r="AD4" s="10"/>
      <c r="AE4" s="14"/>
      <c r="AF4" s="14"/>
      <c r="AG4" s="14"/>
      <c r="AH4" s="14"/>
      <c r="AI4" s="10">
        <v>1</v>
      </c>
      <c r="AJ4" s="10"/>
      <c r="AK4" s="10"/>
      <c r="AL4" s="10"/>
      <c r="AM4" s="14"/>
      <c r="AN4" s="14"/>
      <c r="AO4" s="14"/>
      <c r="AP4" s="14"/>
      <c r="AQ4" s="10"/>
      <c r="AR4" s="10"/>
      <c r="AS4" s="10"/>
      <c r="AT4" s="10"/>
      <c r="AU4" s="14">
        <v>1</v>
      </c>
      <c r="AV4" s="14"/>
      <c r="AW4" s="14"/>
      <c r="AX4" s="14"/>
      <c r="AY4" s="10"/>
      <c r="AZ4" s="10"/>
      <c r="BA4" s="10"/>
      <c r="BB4" s="10"/>
      <c r="BC4" s="14"/>
      <c r="BD4" s="14"/>
      <c r="BE4" s="14"/>
      <c r="BF4" s="14"/>
      <c r="BG4" s="10">
        <v>1</v>
      </c>
      <c r="BH4" s="10"/>
      <c r="BI4" s="22">
        <f t="shared" ref="BI4:BI30" si="2">SUM(W4:BH4)</f>
        <v>4</v>
      </c>
      <c r="BJ4" s="9"/>
      <c r="BK4" s="10"/>
      <c r="BL4" s="10"/>
      <c r="BM4" s="10"/>
      <c r="BN4" s="10"/>
      <c r="BO4" s="10"/>
      <c r="BP4" s="10"/>
      <c r="BQ4" s="10"/>
      <c r="BR4" s="10"/>
      <c r="BS4" s="10"/>
      <c r="BT4" s="10"/>
      <c r="BU4" s="10"/>
      <c r="BV4" s="10"/>
      <c r="BW4" s="10"/>
      <c r="BX4" s="10"/>
      <c r="BY4" s="10"/>
      <c r="BZ4" s="10"/>
      <c r="CA4" s="10"/>
      <c r="CB4" s="10">
        <v>1</v>
      </c>
      <c r="CC4" s="10"/>
      <c r="CD4" s="22">
        <f t="shared" ref="CD4:CD26" si="3">SUM(BK4:CC4)</f>
        <v>1</v>
      </c>
      <c r="CE4" s="22">
        <f t="shared" ref="CE4:CE30" si="4">+CD4+BI4</f>
        <v>5</v>
      </c>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row>
    <row r="5" spans="1:274" s="3" customFormat="1" x14ac:dyDescent="0.25">
      <c r="A5" s="158">
        <v>3</v>
      </c>
      <c r="B5" s="111" t="s">
        <v>7</v>
      </c>
      <c r="D5" s="36" t="s">
        <v>32</v>
      </c>
      <c r="E5" s="8" t="e" vm="1">
        <v>#VALUE!</v>
      </c>
      <c r="F5" s="64"/>
      <c r="G5" s="84"/>
      <c r="H5" s="80"/>
      <c r="I5" s="6"/>
      <c r="J5" s="6"/>
      <c r="K5" s="6"/>
      <c r="L5" s="6"/>
      <c r="M5" s="6"/>
      <c r="N5" s="6"/>
      <c r="O5" s="6"/>
      <c r="P5" s="6"/>
      <c r="Q5" s="6"/>
      <c r="R5" s="6"/>
      <c r="S5" s="110"/>
      <c r="T5" s="17">
        <f t="shared" si="1"/>
        <v>38</v>
      </c>
      <c r="U5" s="17"/>
      <c r="V5" s="17">
        <f t="shared" si="0"/>
        <v>38</v>
      </c>
      <c r="W5" s="98">
        <v>1</v>
      </c>
      <c r="X5" s="14">
        <v>1</v>
      </c>
      <c r="Y5" s="14">
        <v>1</v>
      </c>
      <c r="Z5" s="14">
        <v>1</v>
      </c>
      <c r="AA5" s="10">
        <v>1</v>
      </c>
      <c r="AB5" s="10">
        <v>1</v>
      </c>
      <c r="AC5" s="10">
        <v>1</v>
      </c>
      <c r="AD5" s="10">
        <v>1</v>
      </c>
      <c r="AE5" s="14">
        <v>1</v>
      </c>
      <c r="AF5" s="14">
        <v>1</v>
      </c>
      <c r="AG5" s="14">
        <v>1</v>
      </c>
      <c r="AH5" s="14">
        <v>1</v>
      </c>
      <c r="AI5" s="10">
        <v>1</v>
      </c>
      <c r="AJ5" s="10">
        <v>1</v>
      </c>
      <c r="AK5" s="10">
        <v>1</v>
      </c>
      <c r="AL5" s="10">
        <v>1</v>
      </c>
      <c r="AM5" s="14">
        <v>1</v>
      </c>
      <c r="AN5" s="14">
        <v>1</v>
      </c>
      <c r="AO5" s="14">
        <v>1</v>
      </c>
      <c r="AP5" s="14">
        <v>1</v>
      </c>
      <c r="AQ5" s="10">
        <v>1</v>
      </c>
      <c r="AR5" s="10">
        <v>1</v>
      </c>
      <c r="AS5" s="10">
        <v>1</v>
      </c>
      <c r="AT5" s="10">
        <v>1</v>
      </c>
      <c r="AU5" s="14">
        <v>1</v>
      </c>
      <c r="AV5" s="14">
        <v>1</v>
      </c>
      <c r="AW5" s="14">
        <v>1</v>
      </c>
      <c r="AX5" s="14">
        <v>1</v>
      </c>
      <c r="AY5" s="10">
        <v>1</v>
      </c>
      <c r="AZ5" s="10">
        <v>1</v>
      </c>
      <c r="BA5" s="10">
        <v>1</v>
      </c>
      <c r="BB5" s="10">
        <v>1</v>
      </c>
      <c r="BC5" s="14">
        <v>1</v>
      </c>
      <c r="BD5" s="14">
        <v>1</v>
      </c>
      <c r="BE5" s="14">
        <v>1</v>
      </c>
      <c r="BF5" s="14">
        <v>1</v>
      </c>
      <c r="BG5" s="10">
        <v>1</v>
      </c>
      <c r="BH5" s="10">
        <v>1</v>
      </c>
      <c r="BI5" s="22">
        <f t="shared" si="2"/>
        <v>38</v>
      </c>
      <c r="BJ5" s="9"/>
      <c r="BK5" s="10"/>
      <c r="BL5" s="10"/>
      <c r="BM5" s="10"/>
      <c r="BN5" s="10"/>
      <c r="BO5" s="10"/>
      <c r="BP5" s="10"/>
      <c r="BQ5" s="10"/>
      <c r="BR5" s="10"/>
      <c r="BS5" s="10"/>
      <c r="BT5" s="10"/>
      <c r="BU5" s="10"/>
      <c r="BV5" s="10"/>
      <c r="BW5" s="10"/>
      <c r="BX5" s="10"/>
      <c r="BY5" s="10"/>
      <c r="BZ5" s="10"/>
      <c r="CA5" s="10"/>
      <c r="CB5" s="10"/>
      <c r="CC5" s="10"/>
      <c r="CD5" s="22">
        <f t="shared" si="3"/>
        <v>0</v>
      </c>
      <c r="CE5" s="22">
        <f t="shared" si="4"/>
        <v>38</v>
      </c>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c r="IX5" s="9"/>
      <c r="IY5" s="9"/>
      <c r="IZ5" s="9"/>
      <c r="JA5" s="9"/>
      <c r="JB5" s="9"/>
      <c r="JC5" s="9"/>
      <c r="JD5" s="9"/>
      <c r="JE5" s="9"/>
      <c r="JF5" s="9"/>
      <c r="JG5" s="9"/>
      <c r="JH5" s="9"/>
      <c r="JI5" s="9"/>
      <c r="JJ5" s="9"/>
      <c r="JK5" s="9"/>
      <c r="JL5" s="9"/>
      <c r="JM5" s="9"/>
      <c r="JN5" s="9"/>
    </row>
    <row r="6" spans="1:274" s="3" customFormat="1" x14ac:dyDescent="0.25">
      <c r="A6" s="158">
        <v>4</v>
      </c>
      <c r="B6" s="112" t="s">
        <v>192</v>
      </c>
      <c r="C6" s="10"/>
      <c r="D6" s="35" t="s">
        <v>34</v>
      </c>
      <c r="E6" s="10"/>
      <c r="F6" s="64"/>
      <c r="G6" s="85"/>
      <c r="H6" s="81"/>
      <c r="I6" s="24"/>
      <c r="J6" s="23"/>
      <c r="K6" s="6"/>
      <c r="L6" s="6"/>
      <c r="M6" s="6"/>
      <c r="N6" s="6"/>
      <c r="O6" s="6"/>
      <c r="P6" s="6"/>
      <c r="Q6" s="6"/>
      <c r="R6" s="6"/>
      <c r="S6" s="110"/>
      <c r="T6" s="17">
        <f t="shared" si="1"/>
        <v>30</v>
      </c>
      <c r="U6" s="17"/>
      <c r="V6" s="17">
        <f t="shared" si="0"/>
        <v>30</v>
      </c>
      <c r="W6" s="98">
        <v>10</v>
      </c>
      <c r="X6" s="14">
        <v>10</v>
      </c>
      <c r="Y6" s="25">
        <v>10</v>
      </c>
      <c r="Z6" s="26"/>
      <c r="AA6" s="10"/>
      <c r="AB6" s="10"/>
      <c r="AC6" s="10"/>
      <c r="AD6" s="10"/>
      <c r="AE6" s="14"/>
      <c r="AF6" s="14"/>
      <c r="AG6" s="14"/>
      <c r="AH6" s="14"/>
      <c r="AI6" s="10"/>
      <c r="AJ6" s="10"/>
      <c r="AK6" s="10"/>
      <c r="AL6" s="10"/>
      <c r="AM6" s="14"/>
      <c r="AN6" s="14"/>
      <c r="AO6" s="14"/>
      <c r="AP6" s="14"/>
      <c r="AQ6" s="10"/>
      <c r="AR6" s="10"/>
      <c r="AS6" s="10"/>
      <c r="AT6" s="10"/>
      <c r="AU6" s="14"/>
      <c r="AV6" s="14"/>
      <c r="AW6" s="14"/>
      <c r="AX6" s="14"/>
      <c r="AY6" s="10"/>
      <c r="AZ6" s="10"/>
      <c r="BA6" s="10"/>
      <c r="BB6" s="10"/>
      <c r="BC6" s="14"/>
      <c r="BD6" s="14"/>
      <c r="BE6" s="14"/>
      <c r="BF6" s="14"/>
      <c r="BG6" s="10"/>
      <c r="BH6" s="10"/>
      <c r="BI6" s="22">
        <f t="shared" si="2"/>
        <v>30</v>
      </c>
      <c r="BJ6" s="9"/>
      <c r="BK6" s="10"/>
      <c r="BL6" s="10"/>
      <c r="BM6" s="10"/>
      <c r="BN6" s="10"/>
      <c r="BO6" s="10"/>
      <c r="BP6" s="10"/>
      <c r="BQ6" s="10"/>
      <c r="BR6" s="10"/>
      <c r="BS6" s="10"/>
      <c r="BT6" s="10"/>
      <c r="BU6" s="10"/>
      <c r="BV6" s="10"/>
      <c r="BW6" s="10"/>
      <c r="BX6" s="10"/>
      <c r="BY6" s="10"/>
      <c r="BZ6" s="10"/>
      <c r="CA6" s="10"/>
      <c r="CB6" s="10"/>
      <c r="CC6" s="10"/>
      <c r="CD6" s="22">
        <f t="shared" si="3"/>
        <v>0</v>
      </c>
      <c r="CE6" s="22">
        <f t="shared" si="4"/>
        <v>30</v>
      </c>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c r="JA6" s="9"/>
      <c r="JB6" s="9"/>
      <c r="JC6" s="9"/>
      <c r="JD6" s="9"/>
      <c r="JE6" s="9"/>
      <c r="JF6" s="9"/>
      <c r="JG6" s="9"/>
      <c r="JH6" s="9"/>
      <c r="JI6" s="9"/>
      <c r="JJ6" s="9"/>
      <c r="JK6" s="9"/>
      <c r="JL6" s="9"/>
      <c r="JM6" s="9"/>
      <c r="JN6" s="9"/>
    </row>
    <row r="7" spans="1:274" s="3" customFormat="1" ht="30" x14ac:dyDescent="0.25">
      <c r="A7" s="158">
        <v>5</v>
      </c>
      <c r="B7" s="113" t="s">
        <v>193</v>
      </c>
      <c r="C7" s="10"/>
      <c r="D7" s="35" t="s">
        <v>108</v>
      </c>
      <c r="E7" s="10"/>
      <c r="F7" s="64"/>
      <c r="G7" s="83"/>
      <c r="H7" s="79"/>
      <c r="I7" s="6"/>
      <c r="J7" s="23"/>
      <c r="K7" s="23"/>
      <c r="L7" s="6"/>
      <c r="M7" s="6"/>
      <c r="N7" s="6"/>
      <c r="O7" s="6"/>
      <c r="P7" s="6"/>
      <c r="Q7" s="6"/>
      <c r="R7" s="6"/>
      <c r="S7" s="110"/>
      <c r="T7" s="17">
        <f t="shared" si="1"/>
        <v>20</v>
      </c>
      <c r="U7" s="17"/>
      <c r="V7" s="17">
        <f t="shared" si="0"/>
        <v>20</v>
      </c>
      <c r="W7" s="98">
        <v>10</v>
      </c>
      <c r="X7" s="27">
        <v>10</v>
      </c>
      <c r="Y7" s="14"/>
      <c r="Z7" s="14"/>
      <c r="AA7" s="10"/>
      <c r="AB7" s="10"/>
      <c r="AC7" s="10"/>
      <c r="AD7" s="10"/>
      <c r="AE7" s="14"/>
      <c r="AF7" s="14"/>
      <c r="AG7" s="14"/>
      <c r="AH7" s="14"/>
      <c r="AI7" s="10"/>
      <c r="AJ7" s="10"/>
      <c r="AK7" s="10"/>
      <c r="AL7" s="10"/>
      <c r="AM7" s="14"/>
      <c r="AN7" s="14"/>
      <c r="AO7" s="14"/>
      <c r="AP7" s="14"/>
      <c r="AQ7" s="10"/>
      <c r="AR7" s="10"/>
      <c r="AS7" s="10"/>
      <c r="AT7" s="10"/>
      <c r="AU7" s="14"/>
      <c r="AV7" s="14"/>
      <c r="AW7" s="14"/>
      <c r="AX7" s="14"/>
      <c r="AY7" s="10"/>
      <c r="AZ7" s="10"/>
      <c r="BA7" s="10"/>
      <c r="BB7" s="10"/>
      <c r="BC7" s="14"/>
      <c r="BD7" s="14"/>
      <c r="BE7" s="14"/>
      <c r="BF7" s="14"/>
      <c r="BG7" s="10"/>
      <c r="BH7" s="10"/>
      <c r="BI7" s="22">
        <f t="shared" si="2"/>
        <v>20</v>
      </c>
      <c r="BJ7" s="9"/>
      <c r="BK7" s="10"/>
      <c r="BL7" s="10"/>
      <c r="BM7" s="10"/>
      <c r="BN7" s="10"/>
      <c r="BO7" s="10"/>
      <c r="BP7" s="10"/>
      <c r="BQ7" s="10"/>
      <c r="BR7" s="10"/>
      <c r="BS7" s="10"/>
      <c r="BT7" s="10"/>
      <c r="BU7" s="10"/>
      <c r="BV7" s="10"/>
      <c r="BW7" s="10"/>
      <c r="BX7" s="10"/>
      <c r="BY7" s="10"/>
      <c r="BZ7" s="10"/>
      <c r="CA7" s="10"/>
      <c r="CB7" s="10"/>
      <c r="CC7" s="10"/>
      <c r="CD7" s="22">
        <f t="shared" si="3"/>
        <v>0</v>
      </c>
      <c r="CE7" s="22">
        <f t="shared" si="4"/>
        <v>20</v>
      </c>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c r="IY7" s="9"/>
      <c r="IZ7" s="9"/>
      <c r="JA7" s="9"/>
      <c r="JB7" s="9"/>
      <c r="JC7" s="9"/>
      <c r="JD7" s="9"/>
      <c r="JE7" s="9"/>
      <c r="JF7" s="9"/>
      <c r="JG7" s="9"/>
      <c r="JH7" s="9"/>
      <c r="JI7" s="9"/>
      <c r="JJ7" s="9"/>
      <c r="JK7" s="9"/>
      <c r="JL7" s="9"/>
      <c r="JM7" s="9"/>
      <c r="JN7" s="9"/>
    </row>
    <row r="8" spans="1:274" s="3" customFormat="1" ht="14.25" customHeight="1" x14ac:dyDescent="0.2">
      <c r="A8" s="158">
        <v>5</v>
      </c>
      <c r="B8" s="113" t="s">
        <v>103</v>
      </c>
      <c r="C8" s="10"/>
      <c r="D8" s="34" t="s">
        <v>111</v>
      </c>
      <c r="E8" s="10"/>
      <c r="F8" s="64"/>
      <c r="G8" s="83"/>
      <c r="H8" s="79"/>
      <c r="I8" s="6"/>
      <c r="J8" s="23"/>
      <c r="K8" s="23"/>
      <c r="L8" s="6"/>
      <c r="M8" s="6"/>
      <c r="N8" s="6"/>
      <c r="O8" s="6"/>
      <c r="P8" s="6"/>
      <c r="Q8" s="6"/>
      <c r="R8" s="6"/>
      <c r="S8" s="110"/>
      <c r="T8" s="17">
        <f t="shared" si="1"/>
        <v>20</v>
      </c>
      <c r="U8" s="17"/>
      <c r="V8" s="17">
        <f t="shared" si="0"/>
        <v>20</v>
      </c>
      <c r="W8" s="98">
        <v>10</v>
      </c>
      <c r="X8" s="27">
        <v>10</v>
      </c>
      <c r="Y8" s="14"/>
      <c r="Z8" s="14"/>
      <c r="AA8" s="10"/>
      <c r="AB8" s="10"/>
      <c r="AC8" s="10"/>
      <c r="AD8" s="10"/>
      <c r="AE8" s="14"/>
      <c r="AF8" s="14"/>
      <c r="AG8" s="14"/>
      <c r="AH8" s="14"/>
      <c r="AI8" s="10"/>
      <c r="AJ8" s="10"/>
      <c r="AK8" s="10"/>
      <c r="AL8" s="10"/>
      <c r="AM8" s="14"/>
      <c r="AN8" s="14"/>
      <c r="AO8" s="14"/>
      <c r="AP8" s="14"/>
      <c r="AQ8" s="10"/>
      <c r="AR8" s="10"/>
      <c r="AS8" s="10"/>
      <c r="AT8" s="10"/>
      <c r="AU8" s="14"/>
      <c r="AV8" s="14"/>
      <c r="AW8" s="14"/>
      <c r="AX8" s="14"/>
      <c r="AY8" s="10"/>
      <c r="AZ8" s="10"/>
      <c r="BA8" s="10"/>
      <c r="BB8" s="10"/>
      <c r="BC8" s="14"/>
      <c r="BD8" s="14"/>
      <c r="BE8" s="14"/>
      <c r="BF8" s="14"/>
      <c r="BG8" s="10"/>
      <c r="BH8" s="10"/>
      <c r="BI8" s="22">
        <f t="shared" si="2"/>
        <v>20</v>
      </c>
      <c r="BJ8" s="9"/>
      <c r="BK8" s="10"/>
      <c r="BL8" s="10"/>
      <c r="BM8" s="10"/>
      <c r="BN8" s="10"/>
      <c r="BO8" s="10"/>
      <c r="BP8" s="10"/>
      <c r="BQ8" s="10"/>
      <c r="BR8" s="10"/>
      <c r="BS8" s="10"/>
      <c r="BT8" s="10"/>
      <c r="BU8" s="10"/>
      <c r="BV8" s="10"/>
      <c r="BW8" s="10"/>
      <c r="BX8" s="10"/>
      <c r="BY8" s="10"/>
      <c r="BZ8" s="10"/>
      <c r="CA8" s="10"/>
      <c r="CB8" s="10"/>
      <c r="CC8" s="10"/>
      <c r="CD8" s="22">
        <f t="shared" si="3"/>
        <v>0</v>
      </c>
      <c r="CE8" s="22">
        <f t="shared" si="4"/>
        <v>20</v>
      </c>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c r="IX8" s="9"/>
      <c r="IY8" s="9"/>
      <c r="IZ8" s="9"/>
      <c r="JA8" s="9"/>
      <c r="JB8" s="9"/>
      <c r="JC8" s="9"/>
      <c r="JD8" s="9"/>
      <c r="JE8" s="9"/>
      <c r="JF8" s="9"/>
      <c r="JG8" s="9"/>
      <c r="JH8" s="9"/>
      <c r="JI8" s="9"/>
      <c r="JJ8" s="9"/>
      <c r="JK8" s="9"/>
      <c r="JL8" s="9"/>
      <c r="JM8" s="9"/>
      <c r="JN8" s="9"/>
    </row>
    <row r="9" spans="1:274" s="3" customFormat="1" x14ac:dyDescent="0.25">
      <c r="A9" s="158">
        <v>6</v>
      </c>
      <c r="B9" s="114" t="s">
        <v>3</v>
      </c>
      <c r="C9" s="10"/>
      <c r="D9" s="35" t="s">
        <v>112</v>
      </c>
      <c r="E9" s="10"/>
      <c r="F9" s="64"/>
      <c r="G9" s="83"/>
      <c r="H9" s="79"/>
      <c r="I9" s="23"/>
      <c r="J9" s="6"/>
      <c r="K9" s="6"/>
      <c r="L9" s="6"/>
      <c r="M9" s="6"/>
      <c r="N9" s="6"/>
      <c r="O9" s="6"/>
      <c r="P9" s="6"/>
      <c r="Q9" s="6"/>
      <c r="R9" s="6"/>
      <c r="S9" s="110"/>
      <c r="T9" s="17">
        <f t="shared" si="1"/>
        <v>10</v>
      </c>
      <c r="U9" s="17"/>
      <c r="V9" s="17">
        <f t="shared" si="0"/>
        <v>10</v>
      </c>
      <c r="W9" s="98"/>
      <c r="X9" s="14"/>
      <c r="Y9" s="15">
        <v>10</v>
      </c>
      <c r="Z9" s="28"/>
      <c r="AA9" s="10"/>
      <c r="AB9" s="10"/>
      <c r="AC9" s="10"/>
      <c r="AD9" s="10"/>
      <c r="AE9" s="14"/>
      <c r="AF9" s="14"/>
      <c r="AG9" s="14"/>
      <c r="AH9" s="14"/>
      <c r="AI9" s="10"/>
      <c r="AJ9" s="10"/>
      <c r="AK9" s="10"/>
      <c r="AL9" s="10"/>
      <c r="AM9" s="14"/>
      <c r="AN9" s="14"/>
      <c r="AO9" s="14"/>
      <c r="AP9" s="14"/>
      <c r="AQ9" s="10"/>
      <c r="AR9" s="10"/>
      <c r="AS9" s="10"/>
      <c r="AT9" s="10"/>
      <c r="AU9" s="14"/>
      <c r="AV9" s="14"/>
      <c r="AW9" s="14"/>
      <c r="AX9" s="14"/>
      <c r="AY9" s="10"/>
      <c r="AZ9" s="10"/>
      <c r="BA9" s="10"/>
      <c r="BB9" s="10"/>
      <c r="BC9" s="14"/>
      <c r="BD9" s="14"/>
      <c r="BE9" s="14"/>
      <c r="BF9" s="14"/>
      <c r="BG9" s="10"/>
      <c r="BH9" s="10"/>
      <c r="BI9" s="22">
        <f t="shared" si="2"/>
        <v>10</v>
      </c>
      <c r="BJ9" s="9"/>
      <c r="BK9" s="10"/>
      <c r="BL9" s="10"/>
      <c r="BM9" s="10"/>
      <c r="BN9" s="10"/>
      <c r="BO9" s="10"/>
      <c r="BP9" s="10"/>
      <c r="BQ9" s="10"/>
      <c r="BR9" s="10"/>
      <c r="BS9" s="10"/>
      <c r="BT9" s="10"/>
      <c r="BU9" s="10"/>
      <c r="BV9" s="10"/>
      <c r="BW9" s="10"/>
      <c r="BX9" s="10"/>
      <c r="BY9" s="10"/>
      <c r="BZ9" s="10"/>
      <c r="CA9" s="10"/>
      <c r="CB9" s="10"/>
      <c r="CC9" s="10"/>
      <c r="CD9" s="22">
        <f t="shared" si="3"/>
        <v>0</v>
      </c>
      <c r="CE9" s="22">
        <f t="shared" si="4"/>
        <v>10</v>
      </c>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c r="JA9" s="9"/>
      <c r="JB9" s="9"/>
      <c r="JC9" s="9"/>
      <c r="JD9" s="9"/>
      <c r="JE9" s="9"/>
      <c r="JF9" s="9"/>
      <c r="JG9" s="9"/>
      <c r="JH9" s="9"/>
      <c r="JI9" s="9"/>
      <c r="JJ9" s="9"/>
      <c r="JK9" s="9"/>
      <c r="JL9" s="9"/>
      <c r="JM9" s="9"/>
      <c r="JN9" s="9"/>
    </row>
    <row r="10" spans="1:274" s="3" customFormat="1" x14ac:dyDescent="0.25">
      <c r="A10" s="158">
        <v>7</v>
      </c>
      <c r="B10" s="115" t="s">
        <v>194</v>
      </c>
      <c r="C10" s="10"/>
      <c r="D10" s="35" t="s">
        <v>113</v>
      </c>
      <c r="E10" s="10"/>
      <c r="F10" s="64"/>
      <c r="G10" s="83"/>
      <c r="H10" s="79"/>
      <c r="I10" s="6"/>
      <c r="J10" s="23"/>
      <c r="K10" s="23"/>
      <c r="L10" s="6"/>
      <c r="M10" s="6"/>
      <c r="N10" s="6"/>
      <c r="O10" s="6"/>
      <c r="P10" s="6"/>
      <c r="Q10" s="6"/>
      <c r="R10" s="6"/>
      <c r="S10" s="110"/>
      <c r="T10" s="17">
        <f t="shared" si="1"/>
        <v>10</v>
      </c>
      <c r="U10" s="17"/>
      <c r="V10" s="17">
        <f t="shared" si="0"/>
        <v>10</v>
      </c>
      <c r="W10" s="98"/>
      <c r="X10" s="14"/>
      <c r="Y10" s="14"/>
      <c r="Z10" s="14">
        <v>4</v>
      </c>
      <c r="AA10" s="14">
        <v>4</v>
      </c>
      <c r="AB10" s="15">
        <v>2</v>
      </c>
      <c r="AC10" s="10"/>
      <c r="AD10" s="10"/>
      <c r="AE10" s="14"/>
      <c r="AF10" s="14"/>
      <c r="AG10" s="14"/>
      <c r="AH10" s="14"/>
      <c r="AI10" s="10"/>
      <c r="AJ10" s="10"/>
      <c r="AK10" s="10"/>
      <c r="AL10" s="10"/>
      <c r="AM10" s="14"/>
      <c r="AN10" s="14"/>
      <c r="AO10" s="14"/>
      <c r="AP10" s="14"/>
      <c r="AQ10" s="10"/>
      <c r="AR10" s="10"/>
      <c r="AS10" s="10"/>
      <c r="AT10" s="10"/>
      <c r="AU10" s="14"/>
      <c r="AV10" s="14"/>
      <c r="AW10" s="14"/>
      <c r="AX10" s="14"/>
      <c r="AY10" s="10"/>
      <c r="AZ10" s="10"/>
      <c r="BA10" s="10"/>
      <c r="BB10" s="10"/>
      <c r="BC10" s="14"/>
      <c r="BD10" s="14"/>
      <c r="BE10" s="14"/>
      <c r="BF10" s="14"/>
      <c r="BG10" s="10"/>
      <c r="BH10" s="10"/>
      <c r="BI10" s="22">
        <f t="shared" si="2"/>
        <v>10</v>
      </c>
      <c r="BJ10" s="9"/>
      <c r="BK10" s="10"/>
      <c r="BL10" s="10"/>
      <c r="BM10" s="10"/>
      <c r="BN10" s="10"/>
      <c r="BO10" s="10"/>
      <c r="BP10" s="10"/>
      <c r="BQ10" s="10"/>
      <c r="BR10" s="10"/>
      <c r="BS10" s="10"/>
      <c r="BT10" s="10"/>
      <c r="BU10" s="10"/>
      <c r="BV10" s="10"/>
      <c r="BW10" s="10"/>
      <c r="BX10" s="10"/>
      <c r="BY10" s="10"/>
      <c r="BZ10" s="10"/>
      <c r="CA10" s="10"/>
      <c r="CB10" s="10"/>
      <c r="CC10" s="10"/>
      <c r="CD10" s="22">
        <f t="shared" si="3"/>
        <v>0</v>
      </c>
      <c r="CE10" s="22">
        <f t="shared" si="4"/>
        <v>10</v>
      </c>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c r="FO10" s="9"/>
      <c r="FP10" s="9"/>
      <c r="FQ10" s="9"/>
      <c r="FR10" s="9"/>
      <c r="FS10" s="9"/>
      <c r="FT10" s="9"/>
      <c r="FU10" s="9"/>
      <c r="FV10" s="9"/>
      <c r="FW10" s="9"/>
      <c r="FX10" s="9"/>
      <c r="FY10" s="9"/>
      <c r="FZ10" s="9"/>
      <c r="GA10" s="9"/>
      <c r="GB10" s="9"/>
      <c r="GC10" s="9"/>
      <c r="GD10" s="9"/>
      <c r="GE10" s="9"/>
      <c r="GF10" s="9"/>
      <c r="GG10" s="9"/>
      <c r="GH10" s="9"/>
      <c r="GI10" s="9"/>
      <c r="GJ10" s="9"/>
      <c r="GK10" s="9"/>
      <c r="GL10" s="9"/>
      <c r="GM10" s="9"/>
      <c r="GN10" s="9"/>
      <c r="GO10" s="9"/>
      <c r="GP10" s="9"/>
      <c r="GQ10" s="9"/>
      <c r="GR10" s="9"/>
      <c r="GS10" s="9"/>
      <c r="GT10" s="9"/>
      <c r="GU10" s="9"/>
      <c r="GV10" s="9"/>
      <c r="GW10" s="9"/>
      <c r="GX10" s="9"/>
      <c r="GY10" s="9"/>
      <c r="GZ10" s="9"/>
      <c r="HA10" s="9"/>
      <c r="HB10" s="9"/>
      <c r="HC10" s="9"/>
      <c r="HD10" s="9"/>
      <c r="HE10" s="9"/>
      <c r="HF10" s="9"/>
      <c r="HG10" s="9"/>
      <c r="HH10" s="9"/>
      <c r="HI10" s="9"/>
      <c r="HJ10" s="9"/>
      <c r="HK10" s="9"/>
      <c r="HL10" s="9"/>
      <c r="HM10" s="9"/>
      <c r="HN10" s="9"/>
      <c r="HO10" s="9"/>
      <c r="HP10" s="9"/>
      <c r="HQ10" s="9"/>
      <c r="HR10" s="9"/>
      <c r="HS10" s="9"/>
      <c r="HT10" s="9"/>
      <c r="HU10" s="9"/>
      <c r="HV10" s="9"/>
      <c r="HW10" s="9"/>
      <c r="HX10" s="9"/>
      <c r="HY10" s="9"/>
      <c r="HZ10" s="9"/>
      <c r="IA10" s="9"/>
      <c r="IB10" s="9"/>
      <c r="IC10" s="9"/>
      <c r="ID10" s="9"/>
      <c r="IE10" s="9"/>
      <c r="IF10" s="9"/>
      <c r="IG10" s="9"/>
      <c r="IH10" s="9"/>
      <c r="II10" s="9"/>
      <c r="IJ10" s="9"/>
      <c r="IK10" s="9"/>
      <c r="IL10" s="9"/>
      <c r="IM10" s="9"/>
      <c r="IN10" s="9"/>
      <c r="IO10" s="9"/>
      <c r="IP10" s="9"/>
      <c r="IQ10" s="9"/>
      <c r="IR10" s="9"/>
      <c r="IS10" s="9"/>
      <c r="IT10" s="9"/>
      <c r="IU10" s="9"/>
      <c r="IV10" s="9"/>
      <c r="IW10" s="9"/>
      <c r="IX10" s="9"/>
      <c r="IY10" s="9"/>
      <c r="IZ10" s="9"/>
      <c r="JA10" s="9"/>
      <c r="JB10" s="9"/>
      <c r="JC10" s="9"/>
      <c r="JD10" s="9"/>
      <c r="JE10" s="9"/>
      <c r="JF10" s="9"/>
      <c r="JG10" s="9"/>
      <c r="JH10" s="9"/>
      <c r="JI10" s="9"/>
      <c r="JJ10" s="9"/>
      <c r="JK10" s="9"/>
      <c r="JL10" s="9"/>
      <c r="JM10" s="9"/>
      <c r="JN10" s="9"/>
    </row>
    <row r="11" spans="1:274" s="3" customFormat="1" x14ac:dyDescent="0.25">
      <c r="A11" s="158">
        <v>8</v>
      </c>
      <c r="B11" s="116" t="s">
        <v>195</v>
      </c>
      <c r="C11" s="10"/>
      <c r="D11" s="35"/>
      <c r="E11" s="10"/>
      <c r="F11" s="64"/>
      <c r="G11" s="84"/>
      <c r="H11" s="65"/>
      <c r="I11" s="4"/>
      <c r="J11" s="23"/>
      <c r="K11" s="4"/>
      <c r="L11" s="23"/>
      <c r="M11" s="4"/>
      <c r="N11" s="4"/>
      <c r="O11" s="4"/>
      <c r="P11" s="4"/>
      <c r="Q11" s="4"/>
      <c r="R11" s="23"/>
      <c r="S11" s="163"/>
      <c r="T11" s="17">
        <f t="shared" si="1"/>
        <v>66</v>
      </c>
      <c r="U11" s="17"/>
      <c r="V11" s="17">
        <f t="shared" si="0"/>
        <v>66</v>
      </c>
      <c r="W11" s="98"/>
      <c r="X11" s="14"/>
      <c r="Y11" s="14">
        <v>10</v>
      </c>
      <c r="Z11" s="14">
        <v>16</v>
      </c>
      <c r="AA11" s="10">
        <v>16</v>
      </c>
      <c r="AB11" s="10">
        <v>10</v>
      </c>
      <c r="AC11" s="10">
        <v>10</v>
      </c>
      <c r="AD11" s="15">
        <v>4</v>
      </c>
      <c r="AE11" s="14"/>
      <c r="AF11" s="14"/>
      <c r="AG11" s="14"/>
      <c r="AH11" s="14"/>
      <c r="AI11" s="10"/>
      <c r="AJ11" s="10"/>
      <c r="AK11" s="10"/>
      <c r="AL11" s="10"/>
      <c r="AM11" s="14"/>
      <c r="AN11" s="14"/>
      <c r="AO11" s="14"/>
      <c r="AP11" s="14"/>
      <c r="AQ11" s="10"/>
      <c r="AR11" s="10"/>
      <c r="AS11" s="10"/>
      <c r="AT11" s="10"/>
      <c r="AU11" s="14"/>
      <c r="AV11" s="14"/>
      <c r="AW11" s="14"/>
      <c r="AX11" s="14"/>
      <c r="AY11" s="10"/>
      <c r="AZ11" s="10"/>
      <c r="BA11" s="10"/>
      <c r="BB11" s="10"/>
      <c r="BC11" s="14"/>
      <c r="BD11" s="14"/>
      <c r="BE11" s="14"/>
      <c r="BF11" s="14"/>
      <c r="BG11" s="10"/>
      <c r="BH11" s="10"/>
      <c r="BI11" s="22">
        <f t="shared" si="2"/>
        <v>66</v>
      </c>
      <c r="BJ11" s="9"/>
      <c r="BK11" s="10"/>
      <c r="BL11" s="10"/>
      <c r="BM11" s="10"/>
      <c r="BN11" s="10"/>
      <c r="BO11" s="10"/>
      <c r="BP11" s="10"/>
      <c r="BQ11" s="10"/>
      <c r="BR11" s="10"/>
      <c r="BS11" s="10"/>
      <c r="BT11" s="10"/>
      <c r="BU11" s="10"/>
      <c r="BV11" s="10"/>
      <c r="BW11" s="10"/>
      <c r="BX11" s="10"/>
      <c r="BY11" s="10"/>
      <c r="BZ11" s="10"/>
      <c r="CA11" s="10"/>
      <c r="CB11" s="10"/>
      <c r="CC11" s="10"/>
      <c r="CD11" s="22">
        <f t="shared" si="3"/>
        <v>0</v>
      </c>
      <c r="CE11" s="22">
        <f t="shared" si="4"/>
        <v>66</v>
      </c>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c r="IW11" s="9"/>
      <c r="IX11" s="9"/>
      <c r="IY11" s="9"/>
      <c r="IZ11" s="9"/>
      <c r="JA11" s="9"/>
      <c r="JB11" s="9"/>
      <c r="JC11" s="9"/>
      <c r="JD11" s="9"/>
      <c r="JE11" s="9"/>
      <c r="JF11" s="9"/>
      <c r="JG11" s="9"/>
      <c r="JH11" s="9"/>
      <c r="JI11" s="9"/>
      <c r="JJ11" s="9"/>
      <c r="JK11" s="9"/>
      <c r="JL11" s="9"/>
      <c r="JM11" s="9"/>
      <c r="JN11" s="9"/>
    </row>
    <row r="12" spans="1:274" s="3" customFormat="1" ht="30" x14ac:dyDescent="0.25">
      <c r="A12" s="158">
        <v>9</v>
      </c>
      <c r="B12" s="116" t="s">
        <v>196</v>
      </c>
      <c r="C12" s="10"/>
      <c r="D12" s="35"/>
      <c r="E12" s="10"/>
      <c r="F12" s="64"/>
      <c r="G12" s="83"/>
      <c r="H12" s="79"/>
      <c r="I12" s="6"/>
      <c r="J12" s="6"/>
      <c r="K12" s="6"/>
      <c r="L12" s="23"/>
      <c r="M12" s="23"/>
      <c r="N12" s="23"/>
      <c r="O12" s="23"/>
      <c r="P12" s="23"/>
      <c r="Q12" s="23"/>
      <c r="R12" s="23"/>
      <c r="S12" s="168"/>
      <c r="T12" s="17">
        <f t="shared" si="1"/>
        <v>24</v>
      </c>
      <c r="U12" s="17"/>
      <c r="V12" s="17">
        <f t="shared" si="0"/>
        <v>24</v>
      </c>
      <c r="W12" s="98"/>
      <c r="X12" s="14"/>
      <c r="Y12" s="14"/>
      <c r="Z12" s="14">
        <v>10</v>
      </c>
      <c r="AA12" s="10">
        <v>10</v>
      </c>
      <c r="AB12" s="15">
        <v>4</v>
      </c>
      <c r="AC12" s="10"/>
      <c r="AD12" s="10"/>
      <c r="AE12" s="14"/>
      <c r="AF12" s="14"/>
      <c r="AG12" s="14"/>
      <c r="AH12" s="14"/>
      <c r="AI12" s="10"/>
      <c r="AJ12" s="10"/>
      <c r="AK12" s="10"/>
      <c r="AL12" s="10"/>
      <c r="AM12" s="14"/>
      <c r="AN12" s="14"/>
      <c r="AO12" s="14"/>
      <c r="AP12" s="14"/>
      <c r="AQ12" s="10"/>
      <c r="AR12" s="10"/>
      <c r="AS12" s="10"/>
      <c r="AT12" s="10"/>
      <c r="AU12" s="14"/>
      <c r="AV12" s="14"/>
      <c r="AW12" s="14"/>
      <c r="AX12" s="14"/>
      <c r="AY12" s="10"/>
      <c r="AZ12" s="10"/>
      <c r="BA12" s="10"/>
      <c r="BB12" s="10"/>
      <c r="BC12" s="14"/>
      <c r="BD12" s="14"/>
      <c r="BE12" s="14"/>
      <c r="BF12" s="14"/>
      <c r="BG12" s="10"/>
      <c r="BH12" s="10"/>
      <c r="BI12" s="22">
        <f t="shared" si="2"/>
        <v>24</v>
      </c>
      <c r="BJ12" s="9"/>
      <c r="BK12" s="10"/>
      <c r="BL12" s="10"/>
      <c r="BM12" s="10"/>
      <c r="BN12" s="10"/>
      <c r="BO12" s="10"/>
      <c r="BP12" s="10"/>
      <c r="BQ12" s="10"/>
      <c r="BR12" s="10"/>
      <c r="BS12" s="10"/>
      <c r="BT12" s="10"/>
      <c r="BU12" s="10"/>
      <c r="BV12" s="10"/>
      <c r="BW12" s="10"/>
      <c r="BX12" s="10"/>
      <c r="BY12" s="10"/>
      <c r="BZ12" s="10"/>
      <c r="CA12" s="10"/>
      <c r="CB12" s="10"/>
      <c r="CC12" s="10"/>
      <c r="CD12" s="22">
        <f t="shared" si="3"/>
        <v>0</v>
      </c>
      <c r="CE12" s="22">
        <f t="shared" si="4"/>
        <v>24</v>
      </c>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9"/>
      <c r="GB12" s="9"/>
      <c r="GC12" s="9"/>
      <c r="GD12" s="9"/>
      <c r="GE12" s="9"/>
      <c r="GF12" s="9"/>
      <c r="GG12" s="9"/>
      <c r="GH12" s="9"/>
      <c r="GI12" s="9"/>
      <c r="GJ12" s="9"/>
      <c r="GK12" s="9"/>
      <c r="GL12" s="9"/>
      <c r="GM12" s="9"/>
      <c r="GN12" s="9"/>
      <c r="GO12" s="9"/>
      <c r="GP12" s="9"/>
      <c r="GQ12" s="9"/>
      <c r="GR12" s="9"/>
      <c r="GS12" s="9"/>
      <c r="GT12" s="9"/>
      <c r="GU12" s="9"/>
      <c r="GV12" s="9"/>
      <c r="GW12" s="9"/>
      <c r="GX12" s="9"/>
      <c r="GY12" s="9"/>
      <c r="GZ12" s="9"/>
      <c r="HA12" s="9"/>
      <c r="HB12" s="9"/>
      <c r="HC12" s="9"/>
      <c r="HD12" s="9"/>
      <c r="HE12" s="9"/>
      <c r="HF12" s="9"/>
      <c r="HG12" s="9"/>
      <c r="HH12" s="9"/>
      <c r="HI12" s="9"/>
      <c r="HJ12" s="9"/>
      <c r="HK12" s="9"/>
      <c r="HL12" s="9"/>
      <c r="HM12" s="9"/>
      <c r="HN12" s="9"/>
      <c r="HO12" s="9"/>
      <c r="HP12" s="9"/>
      <c r="HQ12" s="9"/>
      <c r="HR12" s="9"/>
      <c r="HS12" s="9"/>
      <c r="HT12" s="9"/>
      <c r="HU12" s="9"/>
      <c r="HV12" s="9"/>
      <c r="HW12" s="9"/>
      <c r="HX12" s="9"/>
      <c r="HY12" s="9"/>
      <c r="HZ12" s="9"/>
      <c r="IA12" s="9"/>
      <c r="IB12" s="9"/>
      <c r="IC12" s="9"/>
      <c r="ID12" s="9"/>
      <c r="IE12" s="9"/>
      <c r="IF12" s="9"/>
      <c r="IG12" s="9"/>
      <c r="IH12" s="9"/>
      <c r="II12" s="9"/>
      <c r="IJ12" s="9"/>
      <c r="IK12" s="9"/>
      <c r="IL12" s="9"/>
      <c r="IM12" s="9"/>
      <c r="IN12" s="9"/>
      <c r="IO12" s="9"/>
      <c r="IP12" s="9"/>
      <c r="IQ12" s="9"/>
      <c r="IR12" s="9"/>
      <c r="IS12" s="9"/>
      <c r="IT12" s="9"/>
      <c r="IU12" s="9"/>
      <c r="IV12" s="9"/>
      <c r="IW12" s="9"/>
      <c r="IX12" s="9"/>
      <c r="IY12" s="9"/>
      <c r="IZ12" s="9"/>
      <c r="JA12" s="9"/>
      <c r="JB12" s="9"/>
      <c r="JC12" s="9"/>
      <c r="JD12" s="9"/>
      <c r="JE12" s="9"/>
      <c r="JF12" s="9"/>
      <c r="JG12" s="9"/>
      <c r="JH12" s="9"/>
      <c r="JI12" s="9"/>
      <c r="JJ12" s="9"/>
      <c r="JK12" s="9"/>
      <c r="JL12" s="9"/>
      <c r="JM12" s="9"/>
      <c r="JN12" s="9"/>
    </row>
    <row r="13" spans="1:274" s="3" customFormat="1" x14ac:dyDescent="0.25">
      <c r="A13" s="158">
        <v>10</v>
      </c>
      <c r="B13" s="117" t="s">
        <v>197</v>
      </c>
      <c r="C13" s="10"/>
      <c r="D13" s="35"/>
      <c r="E13" s="10"/>
      <c r="F13" s="64"/>
      <c r="G13" s="84"/>
      <c r="H13" s="65"/>
      <c r="I13" s="4"/>
      <c r="J13" s="4"/>
      <c r="K13" s="4"/>
      <c r="L13" s="23"/>
      <c r="M13" s="23"/>
      <c r="N13" s="4"/>
      <c r="O13" s="4"/>
      <c r="P13" s="4"/>
      <c r="Q13" s="4"/>
      <c r="R13" s="4"/>
      <c r="S13" s="163"/>
      <c r="T13" s="17">
        <f t="shared" si="1"/>
        <v>40</v>
      </c>
      <c r="U13" s="17"/>
      <c r="V13" s="17">
        <f t="shared" si="0"/>
        <v>40</v>
      </c>
      <c r="W13" s="98"/>
      <c r="X13" s="14"/>
      <c r="Y13" s="14"/>
      <c r="Z13" s="14"/>
      <c r="AA13" s="10"/>
      <c r="AB13" s="10"/>
      <c r="AC13" s="10"/>
      <c r="AD13" s="10"/>
      <c r="AE13" s="14">
        <v>10</v>
      </c>
      <c r="AF13" s="14">
        <v>10</v>
      </c>
      <c r="AG13" s="14">
        <v>10</v>
      </c>
      <c r="AH13" s="15">
        <v>10</v>
      </c>
      <c r="AI13" s="10"/>
      <c r="AJ13" s="10"/>
      <c r="AK13" s="10"/>
      <c r="AL13" s="10"/>
      <c r="AM13" s="14"/>
      <c r="AN13" s="14"/>
      <c r="AO13" s="14"/>
      <c r="AP13" s="14"/>
      <c r="AQ13" s="10"/>
      <c r="AR13" s="10"/>
      <c r="AS13" s="10"/>
      <c r="AT13" s="10"/>
      <c r="AU13" s="14"/>
      <c r="AV13" s="14"/>
      <c r="AW13" s="14"/>
      <c r="AX13" s="14"/>
      <c r="AY13" s="10"/>
      <c r="AZ13" s="10"/>
      <c r="BA13" s="10"/>
      <c r="BB13" s="10"/>
      <c r="BC13" s="14"/>
      <c r="BD13" s="14"/>
      <c r="BE13" s="14"/>
      <c r="BF13" s="14"/>
      <c r="BG13" s="10"/>
      <c r="BH13" s="10"/>
      <c r="BI13" s="22">
        <f t="shared" si="2"/>
        <v>40</v>
      </c>
      <c r="BJ13" s="9"/>
      <c r="BK13" s="10"/>
      <c r="BL13" s="10"/>
      <c r="BM13" s="10"/>
      <c r="BN13" s="10"/>
      <c r="BO13" s="10"/>
      <c r="BP13" s="10"/>
      <c r="BQ13" s="10"/>
      <c r="BR13" s="10"/>
      <c r="BS13" s="10"/>
      <c r="BT13" s="10"/>
      <c r="BU13" s="10"/>
      <c r="BV13" s="10"/>
      <c r="BW13" s="10"/>
      <c r="BX13" s="10"/>
      <c r="BY13" s="10"/>
      <c r="BZ13" s="10"/>
      <c r="CA13" s="10"/>
      <c r="CB13" s="10"/>
      <c r="CC13" s="10"/>
      <c r="CD13" s="22">
        <f t="shared" si="3"/>
        <v>0</v>
      </c>
      <c r="CE13" s="22">
        <f t="shared" si="4"/>
        <v>40</v>
      </c>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c r="IR13" s="9"/>
      <c r="IS13" s="9"/>
      <c r="IT13" s="9"/>
      <c r="IU13" s="9"/>
      <c r="IV13" s="9"/>
      <c r="IW13" s="9"/>
      <c r="IX13" s="9"/>
      <c r="IY13" s="9"/>
      <c r="IZ13" s="9"/>
      <c r="JA13" s="9"/>
      <c r="JB13" s="9"/>
      <c r="JC13" s="9"/>
      <c r="JD13" s="9"/>
      <c r="JE13" s="9"/>
      <c r="JF13" s="9"/>
      <c r="JG13" s="9"/>
      <c r="JH13" s="9"/>
      <c r="JI13" s="9"/>
      <c r="JJ13" s="9"/>
      <c r="JK13" s="9"/>
      <c r="JL13" s="9"/>
      <c r="JM13" s="9"/>
      <c r="JN13" s="9"/>
    </row>
    <row r="14" spans="1:274" s="3" customFormat="1" x14ac:dyDescent="0.25">
      <c r="A14" s="158">
        <v>11</v>
      </c>
      <c r="B14" s="118" t="s">
        <v>198</v>
      </c>
      <c r="C14" s="10"/>
      <c r="D14" s="35"/>
      <c r="E14" s="10"/>
      <c r="F14" s="64"/>
      <c r="G14" s="83"/>
      <c r="H14" s="79"/>
      <c r="I14" s="6"/>
      <c r="J14" s="6"/>
      <c r="K14" s="6"/>
      <c r="L14" s="23"/>
      <c r="M14" s="23"/>
      <c r="N14" s="23"/>
      <c r="O14" s="23"/>
      <c r="P14" s="6"/>
      <c r="Q14" s="23"/>
      <c r="R14" s="23"/>
      <c r="S14" s="168"/>
      <c r="T14" s="17">
        <f t="shared" si="1"/>
        <v>40</v>
      </c>
      <c r="U14" s="17"/>
      <c r="V14" s="17">
        <f t="shared" si="0"/>
        <v>40</v>
      </c>
      <c r="W14" s="98"/>
      <c r="X14" s="14"/>
      <c r="Y14" s="14"/>
      <c r="Z14" s="14"/>
      <c r="AA14" s="10"/>
      <c r="AB14" s="10"/>
      <c r="AC14" s="10"/>
      <c r="AD14" s="10"/>
      <c r="AE14" s="14"/>
      <c r="AF14" s="14"/>
      <c r="AG14" s="14"/>
      <c r="AH14" s="14"/>
      <c r="AI14" s="10">
        <v>10</v>
      </c>
      <c r="AJ14" s="10">
        <v>10</v>
      </c>
      <c r="AK14" s="10">
        <v>10</v>
      </c>
      <c r="AL14" s="15">
        <v>10</v>
      </c>
      <c r="AM14" s="14"/>
      <c r="AN14" s="14"/>
      <c r="AO14" s="14"/>
      <c r="AP14" s="14"/>
      <c r="AQ14" s="10"/>
      <c r="AR14" s="10"/>
      <c r="AS14" s="10"/>
      <c r="AT14" s="10"/>
      <c r="AU14" s="14"/>
      <c r="AV14" s="14"/>
      <c r="AW14" s="14"/>
      <c r="AX14" s="14"/>
      <c r="AY14" s="10"/>
      <c r="AZ14" s="10"/>
      <c r="BA14" s="10"/>
      <c r="BB14" s="10"/>
      <c r="BC14" s="14"/>
      <c r="BD14" s="14"/>
      <c r="BE14" s="14"/>
      <c r="BF14" s="14"/>
      <c r="BG14" s="10"/>
      <c r="BH14" s="10"/>
      <c r="BI14" s="22">
        <f t="shared" si="2"/>
        <v>40</v>
      </c>
      <c r="BJ14" s="9"/>
      <c r="BK14" s="10"/>
      <c r="BL14" s="10"/>
      <c r="BM14" s="10"/>
      <c r="BN14" s="10"/>
      <c r="BO14" s="10"/>
      <c r="BP14" s="10"/>
      <c r="BQ14" s="10"/>
      <c r="BR14" s="10"/>
      <c r="BS14" s="10"/>
      <c r="BT14" s="10"/>
      <c r="BU14" s="10"/>
      <c r="BV14" s="10"/>
      <c r="BW14" s="10"/>
      <c r="BX14" s="10"/>
      <c r="BY14" s="10"/>
      <c r="BZ14" s="10"/>
      <c r="CA14" s="10"/>
      <c r="CB14" s="10"/>
      <c r="CC14" s="10"/>
      <c r="CD14" s="22">
        <f t="shared" si="3"/>
        <v>0</v>
      </c>
      <c r="CE14" s="22">
        <f t="shared" si="4"/>
        <v>40</v>
      </c>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row>
    <row r="15" spans="1:274" s="3" customFormat="1" x14ac:dyDescent="0.25">
      <c r="A15" s="158">
        <v>12</v>
      </c>
      <c r="B15" s="373" t="s">
        <v>199</v>
      </c>
      <c r="C15"/>
      <c r="D15" s="34" t="s">
        <v>114</v>
      </c>
      <c r="E15"/>
      <c r="F15" s="64"/>
      <c r="G15" s="83"/>
      <c r="H15" s="79"/>
      <c r="I15" s="6"/>
      <c r="J15" s="6"/>
      <c r="K15" s="6"/>
      <c r="L15" s="23"/>
      <c r="M15" s="23"/>
      <c r="N15" s="23"/>
      <c r="O15" s="6"/>
      <c r="P15" s="23"/>
      <c r="Q15" s="6"/>
      <c r="R15" s="6"/>
      <c r="S15" s="110"/>
      <c r="T15" s="17">
        <f t="shared" si="1"/>
        <v>104</v>
      </c>
      <c r="U15" s="17"/>
      <c r="V15" s="17">
        <f t="shared" si="0"/>
        <v>104</v>
      </c>
      <c r="W15" s="98"/>
      <c r="X15" s="14"/>
      <c r="Y15" s="14"/>
      <c r="Z15" s="14"/>
      <c r="AA15" s="10"/>
      <c r="AB15" s="10"/>
      <c r="AC15" s="10"/>
      <c r="AD15" s="10"/>
      <c r="AE15" s="14"/>
      <c r="AF15" s="14"/>
      <c r="AG15" s="14"/>
      <c r="AH15" s="14"/>
      <c r="AI15" s="10"/>
      <c r="AJ15" s="10"/>
      <c r="AK15" s="10"/>
      <c r="AL15" s="10"/>
      <c r="AM15" s="14"/>
      <c r="AN15" s="14"/>
      <c r="AO15" s="14"/>
      <c r="AP15" s="14"/>
      <c r="AQ15" s="10"/>
      <c r="AR15" s="10"/>
      <c r="AS15" s="10"/>
      <c r="AT15" s="10"/>
      <c r="AU15" s="14"/>
      <c r="AV15" s="14"/>
      <c r="AW15" s="14"/>
      <c r="AX15" s="14"/>
      <c r="AY15" s="10">
        <v>8</v>
      </c>
      <c r="AZ15" s="10">
        <v>10</v>
      </c>
      <c r="BA15" s="10">
        <v>10</v>
      </c>
      <c r="BB15" s="10">
        <v>10</v>
      </c>
      <c r="BC15" s="14">
        <v>10</v>
      </c>
      <c r="BD15" s="14">
        <v>10</v>
      </c>
      <c r="BE15" s="14">
        <v>10</v>
      </c>
      <c r="BF15" s="14">
        <v>12</v>
      </c>
      <c r="BG15" s="10">
        <v>12</v>
      </c>
      <c r="BH15" s="15">
        <v>12</v>
      </c>
      <c r="BI15" s="22">
        <f t="shared" si="2"/>
        <v>104</v>
      </c>
      <c r="BJ15" s="9"/>
      <c r="BK15" s="10"/>
      <c r="BL15" s="10"/>
      <c r="BM15" s="10"/>
      <c r="BN15" s="10"/>
      <c r="BO15" s="10"/>
      <c r="BP15" s="10"/>
      <c r="BQ15" s="10"/>
      <c r="BR15" s="10"/>
      <c r="BS15" s="10"/>
      <c r="BT15" s="10"/>
      <c r="BU15" s="10"/>
      <c r="BV15" s="10"/>
      <c r="BW15" s="10"/>
      <c r="BX15" s="10"/>
      <c r="BY15" s="10"/>
      <c r="BZ15" s="10"/>
      <c r="CA15" s="10"/>
      <c r="CB15" s="10"/>
      <c r="CC15" s="10"/>
      <c r="CD15" s="22">
        <f t="shared" si="3"/>
        <v>0</v>
      </c>
      <c r="CE15" s="22">
        <f t="shared" si="4"/>
        <v>104</v>
      </c>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row>
    <row r="16" spans="1:274" s="3" customFormat="1" x14ac:dyDescent="0.25">
      <c r="A16" s="158">
        <v>13</v>
      </c>
      <c r="B16" s="374"/>
      <c r="C16" s="10"/>
      <c r="D16" s="35"/>
      <c r="E16" s="10"/>
      <c r="F16" s="64"/>
      <c r="G16" s="83"/>
      <c r="H16" s="79"/>
      <c r="I16" s="6"/>
      <c r="J16" s="6"/>
      <c r="K16" s="6"/>
      <c r="L16" s="23"/>
      <c r="M16" s="23"/>
      <c r="N16" s="23"/>
      <c r="O16" s="6"/>
      <c r="P16" s="23"/>
      <c r="Q16" s="6"/>
      <c r="R16" s="6"/>
      <c r="S16" s="110"/>
      <c r="T16" s="17">
        <f t="shared" si="1"/>
        <v>20</v>
      </c>
      <c r="U16" s="17"/>
      <c r="V16" s="17">
        <f t="shared" si="0"/>
        <v>20</v>
      </c>
      <c r="W16" s="98"/>
      <c r="X16" s="14"/>
      <c r="Y16" s="14"/>
      <c r="Z16" s="14"/>
      <c r="AA16" s="10"/>
      <c r="AB16" s="10"/>
      <c r="AC16" s="10"/>
      <c r="AD16" s="10"/>
      <c r="AE16" s="14"/>
      <c r="AF16" s="14"/>
      <c r="AG16" s="14"/>
      <c r="AH16" s="14"/>
      <c r="AI16" s="10"/>
      <c r="AJ16" s="10"/>
      <c r="AK16" s="10"/>
      <c r="AL16" s="10"/>
      <c r="AM16" s="14"/>
      <c r="AN16" s="14"/>
      <c r="AO16" s="14"/>
      <c r="AP16" s="14"/>
      <c r="AQ16" s="10"/>
      <c r="AR16" s="10"/>
      <c r="AS16" s="10"/>
      <c r="AT16" s="10"/>
      <c r="AU16" s="14"/>
      <c r="AV16" s="14">
        <v>6</v>
      </c>
      <c r="AW16" s="14">
        <v>6</v>
      </c>
      <c r="AX16" s="14">
        <v>6</v>
      </c>
      <c r="AY16" s="15">
        <v>2</v>
      </c>
      <c r="AZ16" s="10"/>
      <c r="BA16" s="10"/>
      <c r="BB16" s="10"/>
      <c r="BC16" s="14"/>
      <c r="BD16" s="14"/>
      <c r="BE16" s="14"/>
      <c r="BF16" s="14"/>
      <c r="BG16" s="10"/>
      <c r="BH16" s="10"/>
      <c r="BI16" s="22">
        <f t="shared" si="2"/>
        <v>20</v>
      </c>
      <c r="BJ16" s="9"/>
      <c r="BK16" s="10"/>
      <c r="BL16" s="10"/>
      <c r="BM16" s="10"/>
      <c r="BN16" s="10"/>
      <c r="BO16" s="10"/>
      <c r="BP16" s="10"/>
      <c r="BQ16" s="10"/>
      <c r="BR16" s="10"/>
      <c r="BS16" s="10"/>
      <c r="BT16" s="10"/>
      <c r="BU16" s="10"/>
      <c r="BV16" s="10"/>
      <c r="BW16" s="10"/>
      <c r="BX16" s="10"/>
      <c r="BY16" s="10"/>
      <c r="BZ16" s="10"/>
      <c r="CA16" s="10"/>
      <c r="CB16" s="10"/>
      <c r="CC16" s="10"/>
      <c r="CD16" s="22">
        <f t="shared" si="3"/>
        <v>0</v>
      </c>
      <c r="CE16" s="22">
        <f t="shared" si="4"/>
        <v>20</v>
      </c>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row>
    <row r="17" spans="1:274" s="3" customFormat="1" x14ac:dyDescent="0.25">
      <c r="A17" s="158">
        <v>14</v>
      </c>
      <c r="B17" s="117" t="s">
        <v>200</v>
      </c>
      <c r="C17"/>
      <c r="D17" s="34"/>
      <c r="E17"/>
      <c r="F17" s="64"/>
      <c r="G17" s="84"/>
      <c r="H17" s="65"/>
      <c r="I17" s="4"/>
      <c r="J17" s="4"/>
      <c r="K17" s="4"/>
      <c r="L17" s="23"/>
      <c r="M17" s="23"/>
      <c r="N17" s="23"/>
      <c r="O17" s="4"/>
      <c r="P17" s="4"/>
      <c r="Q17" s="4"/>
      <c r="R17" s="4"/>
      <c r="S17" s="163"/>
      <c r="T17" s="17">
        <f t="shared" si="1"/>
        <v>40</v>
      </c>
      <c r="U17" s="17"/>
      <c r="V17" s="17">
        <f t="shared" si="0"/>
        <v>40</v>
      </c>
      <c r="W17" s="98"/>
      <c r="X17" s="14"/>
      <c r="Y17" s="14"/>
      <c r="Z17" s="14"/>
      <c r="AA17" s="10"/>
      <c r="AB17" s="10"/>
      <c r="AC17" s="10"/>
      <c r="AD17" s="10"/>
      <c r="AE17" s="14"/>
      <c r="AF17" s="14"/>
      <c r="AG17" s="14"/>
      <c r="AH17" s="14"/>
      <c r="AI17" s="10"/>
      <c r="AJ17" s="10"/>
      <c r="AK17" s="10"/>
      <c r="AL17" s="10"/>
      <c r="AM17" s="14"/>
      <c r="AN17" s="14"/>
      <c r="AO17" s="14"/>
      <c r="AP17" s="14"/>
      <c r="AQ17" s="10"/>
      <c r="AR17" s="10"/>
      <c r="AS17" s="10">
        <v>6</v>
      </c>
      <c r="AT17" s="10">
        <v>6</v>
      </c>
      <c r="AU17" s="14">
        <v>6</v>
      </c>
      <c r="AV17" s="14">
        <v>6</v>
      </c>
      <c r="AW17" s="14">
        <v>6</v>
      </c>
      <c r="AX17" s="14">
        <v>6</v>
      </c>
      <c r="AY17" s="15">
        <v>4</v>
      </c>
      <c r="AZ17" s="10"/>
      <c r="BA17" s="10"/>
      <c r="BB17" s="10"/>
      <c r="BC17" s="14"/>
      <c r="BD17" s="14"/>
      <c r="BE17" s="14"/>
      <c r="BF17" s="14"/>
      <c r="BG17" s="10"/>
      <c r="BH17" s="10"/>
      <c r="BI17" s="22">
        <f t="shared" si="2"/>
        <v>40</v>
      </c>
      <c r="BJ17" s="9"/>
      <c r="BK17" s="10"/>
      <c r="BL17" s="10"/>
      <c r="BM17" s="10"/>
      <c r="BN17" s="10"/>
      <c r="BO17" s="10"/>
      <c r="BP17" s="10"/>
      <c r="BQ17" s="10"/>
      <c r="BR17" s="10"/>
      <c r="BS17" s="10"/>
      <c r="BT17" s="10"/>
      <c r="BU17" s="10"/>
      <c r="BV17" s="10"/>
      <c r="BW17" s="10"/>
      <c r="BX17" s="10"/>
      <c r="BY17" s="10"/>
      <c r="BZ17" s="10"/>
      <c r="CA17" s="10"/>
      <c r="CB17" s="10"/>
      <c r="CC17" s="10"/>
      <c r="CD17" s="22">
        <f t="shared" si="3"/>
        <v>0</v>
      </c>
      <c r="CE17" s="22">
        <f t="shared" si="4"/>
        <v>40</v>
      </c>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c r="IX17" s="9"/>
      <c r="IY17" s="9"/>
      <c r="IZ17" s="9"/>
      <c r="JA17" s="9"/>
      <c r="JB17" s="9"/>
      <c r="JC17" s="9"/>
      <c r="JD17" s="9"/>
      <c r="JE17" s="9"/>
      <c r="JF17" s="9"/>
      <c r="JG17" s="9"/>
      <c r="JH17" s="9"/>
      <c r="JI17" s="9"/>
      <c r="JJ17" s="9"/>
      <c r="JK17" s="9"/>
      <c r="JL17" s="9"/>
      <c r="JM17" s="9"/>
      <c r="JN17" s="9"/>
    </row>
    <row r="18" spans="1:274" s="3" customFormat="1" ht="39.75" customHeight="1" x14ac:dyDescent="0.25">
      <c r="A18" s="158">
        <v>15</v>
      </c>
      <c r="B18" s="112" t="s">
        <v>201</v>
      </c>
      <c r="C18" s="10"/>
      <c r="D18" s="35"/>
      <c r="E18" s="10"/>
      <c r="F18" s="64"/>
      <c r="G18" s="84"/>
      <c r="H18" s="65"/>
      <c r="I18" s="4"/>
      <c r="J18" s="4"/>
      <c r="K18" s="4"/>
      <c r="L18" s="23"/>
      <c r="M18" s="23"/>
      <c r="N18" s="23"/>
      <c r="O18" s="23"/>
      <c r="P18" s="4"/>
      <c r="Q18" s="4"/>
      <c r="R18" s="23"/>
      <c r="S18" s="163"/>
      <c r="T18" s="17">
        <f t="shared" si="1"/>
        <v>66</v>
      </c>
      <c r="U18" s="17"/>
      <c r="V18" s="17">
        <f t="shared" si="0"/>
        <v>66</v>
      </c>
      <c r="W18" s="98"/>
      <c r="X18" s="14"/>
      <c r="Y18" s="14"/>
      <c r="Z18" s="14"/>
      <c r="AA18" s="10"/>
      <c r="AB18" s="10"/>
      <c r="AC18" s="10"/>
      <c r="AD18" s="10"/>
      <c r="AE18" s="14"/>
      <c r="AF18" s="14"/>
      <c r="AG18" s="14"/>
      <c r="AH18" s="14"/>
      <c r="AI18" s="10"/>
      <c r="AJ18" s="10"/>
      <c r="AK18" s="10"/>
      <c r="AL18" s="10"/>
      <c r="AM18" s="14">
        <v>10</v>
      </c>
      <c r="AN18" s="14">
        <v>10</v>
      </c>
      <c r="AO18" s="14">
        <v>10</v>
      </c>
      <c r="AP18" s="14">
        <v>10</v>
      </c>
      <c r="AQ18" s="10">
        <v>10</v>
      </c>
      <c r="AR18" s="10">
        <v>10</v>
      </c>
      <c r="AS18" s="15">
        <v>6</v>
      </c>
      <c r="AT18" s="10"/>
      <c r="AU18" s="14"/>
      <c r="AV18" s="14"/>
      <c r="AW18" s="14"/>
      <c r="AX18" s="14"/>
      <c r="AY18" s="10"/>
      <c r="AZ18" s="10"/>
      <c r="BA18" s="10"/>
      <c r="BB18" s="10"/>
      <c r="BC18" s="14"/>
      <c r="BD18" s="14"/>
      <c r="BE18" s="14"/>
      <c r="BF18" s="14"/>
      <c r="BG18" s="10"/>
      <c r="BH18" s="10"/>
      <c r="BI18" s="22">
        <f t="shared" si="2"/>
        <v>66</v>
      </c>
      <c r="BJ18" s="9"/>
      <c r="BK18" s="10"/>
      <c r="BL18" s="10"/>
      <c r="BM18" s="10"/>
      <c r="BN18" s="10"/>
      <c r="BO18" s="10"/>
      <c r="BP18" s="10"/>
      <c r="BQ18" s="10"/>
      <c r="BR18" s="10"/>
      <c r="BS18" s="10"/>
      <c r="BT18" s="10"/>
      <c r="BU18" s="10"/>
      <c r="BV18" s="10"/>
      <c r="BW18" s="10"/>
      <c r="BX18" s="10"/>
      <c r="BY18" s="10"/>
      <c r="BZ18" s="10"/>
      <c r="CA18" s="10"/>
      <c r="CB18" s="10"/>
      <c r="CC18" s="10"/>
      <c r="CD18" s="22">
        <f t="shared" si="3"/>
        <v>0</v>
      </c>
      <c r="CE18" s="22">
        <f t="shared" si="4"/>
        <v>66</v>
      </c>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9"/>
      <c r="IJ18" s="9"/>
      <c r="IK18" s="9"/>
      <c r="IL18" s="9"/>
      <c r="IM18" s="9"/>
      <c r="IN18" s="9"/>
      <c r="IO18" s="9"/>
      <c r="IP18" s="9"/>
      <c r="IQ18" s="9"/>
      <c r="IR18" s="9"/>
      <c r="IS18" s="9"/>
      <c r="IT18" s="9"/>
      <c r="IU18" s="9"/>
      <c r="IV18" s="9"/>
      <c r="IW18" s="9"/>
      <c r="IX18" s="9"/>
      <c r="IY18" s="9"/>
      <c r="IZ18" s="9"/>
      <c r="JA18" s="9"/>
      <c r="JB18" s="9"/>
      <c r="JC18" s="9"/>
      <c r="JD18" s="9"/>
      <c r="JE18" s="9"/>
      <c r="JF18" s="9"/>
      <c r="JG18" s="9"/>
      <c r="JH18" s="9"/>
      <c r="JI18" s="9"/>
      <c r="JJ18" s="9"/>
      <c r="JK18" s="9"/>
      <c r="JL18" s="9"/>
      <c r="JM18" s="9"/>
      <c r="JN18" s="9"/>
    </row>
    <row r="19" spans="1:274" s="3" customFormat="1" ht="30" x14ac:dyDescent="0.25">
      <c r="A19" s="158">
        <v>16</v>
      </c>
      <c r="B19" s="120" t="s">
        <v>202</v>
      </c>
      <c r="C19" s="10"/>
      <c r="D19" s="34"/>
      <c r="E19"/>
      <c r="G19" s="84"/>
      <c r="H19" s="65"/>
      <c r="I19" s="4"/>
      <c r="J19" s="4"/>
      <c r="K19" s="4"/>
      <c r="L19" s="4"/>
      <c r="M19" s="4"/>
      <c r="N19" s="23"/>
      <c r="O19" s="4"/>
      <c r="P19" s="4"/>
      <c r="Q19" s="4"/>
      <c r="R19" s="23"/>
      <c r="S19" s="163"/>
      <c r="T19" s="17">
        <f t="shared" si="1"/>
        <v>40</v>
      </c>
      <c r="U19" s="17"/>
      <c r="V19" s="17">
        <f t="shared" si="0"/>
        <v>40</v>
      </c>
      <c r="W19" s="98"/>
      <c r="X19" s="14"/>
      <c r="Y19" s="14"/>
      <c r="Z19" s="14"/>
      <c r="AA19" s="10"/>
      <c r="AB19" s="10">
        <v>6</v>
      </c>
      <c r="AC19" s="10">
        <v>6</v>
      </c>
      <c r="AD19" s="10">
        <v>6</v>
      </c>
      <c r="AE19" s="14">
        <v>6</v>
      </c>
      <c r="AF19" s="14">
        <v>6</v>
      </c>
      <c r="AG19" s="14">
        <v>6</v>
      </c>
      <c r="AH19" s="15">
        <v>4</v>
      </c>
      <c r="AI19" s="10"/>
      <c r="AJ19" s="10"/>
      <c r="AK19" s="10"/>
      <c r="AL19" s="10"/>
      <c r="AM19" s="14"/>
      <c r="AN19" s="14"/>
      <c r="AO19" s="14"/>
      <c r="AP19" s="14"/>
      <c r="AQ19" s="10"/>
      <c r="AR19" s="10"/>
      <c r="AS19" s="10"/>
      <c r="AT19" s="10"/>
      <c r="AU19" s="14"/>
      <c r="AV19" s="14"/>
      <c r="AW19" s="14"/>
      <c r="AX19" s="14"/>
      <c r="AY19" s="10"/>
      <c r="AZ19" s="10"/>
      <c r="BA19" s="10"/>
      <c r="BB19" s="10"/>
      <c r="BC19" s="14"/>
      <c r="BD19" s="14"/>
      <c r="BE19" s="14"/>
      <c r="BF19" s="14"/>
      <c r="BG19" s="10"/>
      <c r="BH19" s="10"/>
      <c r="BI19" s="22">
        <f t="shared" si="2"/>
        <v>40</v>
      </c>
      <c r="BJ19" s="9"/>
      <c r="BK19" s="10"/>
      <c r="BL19" s="10"/>
      <c r="BM19" s="10"/>
      <c r="BN19" s="10"/>
      <c r="BO19" s="10"/>
      <c r="BP19" s="10"/>
      <c r="BQ19" s="10"/>
      <c r="BR19" s="10"/>
      <c r="BS19" s="10"/>
      <c r="BT19" s="10"/>
      <c r="BU19" s="10"/>
      <c r="BV19" s="10"/>
      <c r="BW19" s="10"/>
      <c r="BX19" s="10"/>
      <c r="BY19" s="10"/>
      <c r="BZ19" s="10"/>
      <c r="CA19" s="10"/>
      <c r="CB19" s="10"/>
      <c r="CC19" s="10"/>
      <c r="CD19" s="22">
        <f t="shared" si="3"/>
        <v>0</v>
      </c>
      <c r="CE19" s="22">
        <f t="shared" si="4"/>
        <v>40</v>
      </c>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row>
    <row r="20" spans="1:274" s="3" customFormat="1" x14ac:dyDescent="0.25">
      <c r="A20" s="158">
        <v>17</v>
      </c>
      <c r="B20" s="119" t="s">
        <v>203</v>
      </c>
      <c r="C20" s="10"/>
      <c r="D20" s="35" t="s">
        <v>22</v>
      </c>
      <c r="E20" s="10"/>
      <c r="F20" s="64"/>
      <c r="G20" s="84"/>
      <c r="H20" s="65"/>
      <c r="I20" s="4"/>
      <c r="J20" s="4"/>
      <c r="K20" s="4"/>
      <c r="L20" s="4"/>
      <c r="M20" s="4"/>
      <c r="N20" s="4"/>
      <c r="O20" s="4"/>
      <c r="P20" s="4"/>
      <c r="Q20" s="4"/>
      <c r="R20" s="23"/>
      <c r="S20" s="163"/>
      <c r="T20" s="17">
        <f t="shared" si="1"/>
        <v>30</v>
      </c>
      <c r="U20" s="17"/>
      <c r="V20" s="17">
        <f t="shared" si="0"/>
        <v>30</v>
      </c>
      <c r="W20" s="98"/>
      <c r="X20" s="14"/>
      <c r="Y20" s="14"/>
      <c r="Z20" s="14"/>
      <c r="AA20" s="10"/>
      <c r="AB20" s="10"/>
      <c r="AC20" s="10"/>
      <c r="AD20" s="10"/>
      <c r="AE20" s="14"/>
      <c r="AF20" s="14"/>
      <c r="AG20" s="14"/>
      <c r="AH20" s="14"/>
      <c r="AI20" s="10"/>
      <c r="AJ20" s="10"/>
      <c r="AK20" s="10"/>
      <c r="AL20" s="10"/>
      <c r="AM20" s="14"/>
      <c r="AN20" s="14"/>
      <c r="AO20" s="14"/>
      <c r="AP20" s="14">
        <v>4</v>
      </c>
      <c r="AQ20" s="10">
        <v>4</v>
      </c>
      <c r="AR20" s="10">
        <v>4</v>
      </c>
      <c r="AS20" s="10">
        <v>4</v>
      </c>
      <c r="AT20" s="10">
        <v>4</v>
      </c>
      <c r="AU20" s="14">
        <v>4</v>
      </c>
      <c r="AV20" s="14">
        <v>4</v>
      </c>
      <c r="AW20" s="15">
        <v>2</v>
      </c>
      <c r="AX20" s="14"/>
      <c r="AY20" s="10"/>
      <c r="AZ20" s="10"/>
      <c r="BA20" s="10"/>
      <c r="BB20" s="10"/>
      <c r="BC20" s="14"/>
      <c r="BD20" s="14"/>
      <c r="BE20" s="14"/>
      <c r="BF20" s="14"/>
      <c r="BG20" s="10"/>
      <c r="BH20" s="10"/>
      <c r="BI20" s="22">
        <f t="shared" si="2"/>
        <v>30</v>
      </c>
      <c r="BJ20" s="9"/>
      <c r="BK20" s="10"/>
      <c r="BL20" s="10"/>
      <c r="BM20" s="10"/>
      <c r="BN20" s="10"/>
      <c r="BO20" s="10"/>
      <c r="BP20" s="10"/>
      <c r="BQ20" s="10"/>
      <c r="BR20" s="10"/>
      <c r="BS20" s="10"/>
      <c r="BT20" s="10"/>
      <c r="BU20" s="10"/>
      <c r="BV20" s="10"/>
      <c r="BW20" s="10"/>
      <c r="BX20" s="10"/>
      <c r="BY20" s="10"/>
      <c r="BZ20" s="10"/>
      <c r="CA20" s="10"/>
      <c r="CB20" s="10"/>
      <c r="CC20" s="10"/>
      <c r="CD20" s="22">
        <f t="shared" si="3"/>
        <v>0</v>
      </c>
      <c r="CE20" s="22">
        <f t="shared" si="4"/>
        <v>30</v>
      </c>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row>
    <row r="21" spans="1:274" s="3" customFormat="1" ht="30" x14ac:dyDescent="0.25">
      <c r="A21" s="158">
        <v>18</v>
      </c>
      <c r="B21" s="120" t="s">
        <v>204</v>
      </c>
      <c r="C21" s="10"/>
      <c r="D21" s="35" t="s">
        <v>10</v>
      </c>
      <c r="E21" s="10"/>
      <c r="F21" s="64" t="s">
        <v>110</v>
      </c>
      <c r="G21" s="84"/>
      <c r="H21" s="65"/>
      <c r="I21" s="4"/>
      <c r="J21" s="4"/>
      <c r="K21" s="4"/>
      <c r="L21" s="4"/>
      <c r="M21" s="4"/>
      <c r="N21" s="4"/>
      <c r="O21" s="4"/>
      <c r="P21" s="4"/>
      <c r="Q21" s="23"/>
      <c r="R21" s="4"/>
      <c r="S21" s="163"/>
      <c r="T21" s="17">
        <f t="shared" si="1"/>
        <v>30</v>
      </c>
      <c r="U21" s="17"/>
      <c r="V21" s="17">
        <f t="shared" si="0"/>
        <v>30</v>
      </c>
      <c r="W21" s="98" t="s">
        <v>99</v>
      </c>
      <c r="X21" s="14"/>
      <c r="Y21" s="14"/>
      <c r="Z21" s="14"/>
      <c r="AA21" s="10"/>
      <c r="AB21" s="10"/>
      <c r="AC21" s="10"/>
      <c r="AD21" s="10"/>
      <c r="AE21" s="14"/>
      <c r="AF21" s="14"/>
      <c r="AG21" s="14"/>
      <c r="AH21" s="14"/>
      <c r="AI21" s="10">
        <v>4</v>
      </c>
      <c r="AJ21" s="10">
        <v>4</v>
      </c>
      <c r="AK21" s="10">
        <v>4</v>
      </c>
      <c r="AL21" s="10">
        <v>4</v>
      </c>
      <c r="AM21" s="14">
        <v>4</v>
      </c>
      <c r="AN21" s="14">
        <v>4</v>
      </c>
      <c r="AO21" s="14">
        <v>4</v>
      </c>
      <c r="AP21" s="15">
        <v>2</v>
      </c>
      <c r="AQ21" s="10"/>
      <c r="AR21" s="10"/>
      <c r="AS21" s="10"/>
      <c r="AT21" s="10"/>
      <c r="AU21" s="14"/>
      <c r="AV21" s="14"/>
      <c r="AW21" s="14"/>
      <c r="AX21" s="14"/>
      <c r="AY21" s="10"/>
      <c r="AZ21" s="10"/>
      <c r="BA21" s="10"/>
      <c r="BB21" s="10"/>
      <c r="BC21" s="14"/>
      <c r="BD21" s="14"/>
      <c r="BE21" s="14"/>
      <c r="BF21" s="14"/>
      <c r="BG21" s="10"/>
      <c r="BH21" s="10"/>
      <c r="BI21" s="22">
        <f t="shared" si="2"/>
        <v>30</v>
      </c>
      <c r="BJ21" s="9"/>
      <c r="BK21" s="10"/>
      <c r="BL21" s="10"/>
      <c r="BM21" s="10"/>
      <c r="BN21" s="10"/>
      <c r="BO21" s="10"/>
      <c r="BP21" s="10"/>
      <c r="BQ21" s="10"/>
      <c r="BR21" s="10"/>
      <c r="BS21" s="10"/>
      <c r="BT21" s="10"/>
      <c r="BU21" s="10"/>
      <c r="BV21" s="10"/>
      <c r="BW21" s="10"/>
      <c r="BX21" s="10"/>
      <c r="BY21" s="10"/>
      <c r="BZ21" s="10"/>
      <c r="CA21" s="10"/>
      <c r="CB21" s="10"/>
      <c r="CC21" s="10"/>
      <c r="CD21" s="22">
        <f t="shared" si="3"/>
        <v>0</v>
      </c>
      <c r="CE21" s="22">
        <f t="shared" si="4"/>
        <v>30</v>
      </c>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row>
    <row r="22" spans="1:274" s="9" customFormat="1" ht="51" customHeight="1" thickBot="1" x14ac:dyDescent="0.3">
      <c r="A22" s="158">
        <v>19</v>
      </c>
      <c r="B22" s="159" t="s">
        <v>101</v>
      </c>
      <c r="C22" s="10" t="s">
        <v>27</v>
      </c>
      <c r="D22" s="10" t="s">
        <v>27</v>
      </c>
      <c r="E22" s="10" t="s">
        <v>27</v>
      </c>
      <c r="F22" s="64"/>
      <c r="G22" s="86"/>
      <c r="H22" s="82"/>
      <c r="I22" s="69"/>
      <c r="J22" s="70"/>
      <c r="K22" s="70"/>
      <c r="L22" s="70"/>
      <c r="M22" s="70"/>
      <c r="N22" s="70"/>
      <c r="O22" s="70"/>
      <c r="P22" s="70"/>
      <c r="Q22" s="70"/>
      <c r="R22" s="70"/>
      <c r="S22" s="169"/>
      <c r="T22" s="17">
        <f t="shared" si="1"/>
        <v>33</v>
      </c>
      <c r="U22" s="17">
        <f>+CD22</f>
        <v>72</v>
      </c>
      <c r="V22" s="17">
        <f t="shared" si="0"/>
        <v>105</v>
      </c>
      <c r="W22" s="98"/>
      <c r="X22" s="14"/>
      <c r="Y22" s="14"/>
      <c r="Z22" s="14"/>
      <c r="AA22" s="10"/>
      <c r="AB22" s="10">
        <v>1</v>
      </c>
      <c r="AC22" s="10">
        <v>1</v>
      </c>
      <c r="AD22" s="10">
        <v>1</v>
      </c>
      <c r="AE22" s="14">
        <v>1</v>
      </c>
      <c r="AF22" s="14">
        <v>1</v>
      </c>
      <c r="AG22" s="14">
        <v>1</v>
      </c>
      <c r="AH22" s="14">
        <v>1</v>
      </c>
      <c r="AI22" s="10">
        <v>1</v>
      </c>
      <c r="AJ22" s="10">
        <v>1</v>
      </c>
      <c r="AK22" s="10">
        <v>1</v>
      </c>
      <c r="AL22" s="10">
        <v>1</v>
      </c>
      <c r="AM22" s="14">
        <v>1</v>
      </c>
      <c r="AN22" s="14">
        <v>1</v>
      </c>
      <c r="AO22" s="14">
        <v>1</v>
      </c>
      <c r="AP22" s="14">
        <v>1</v>
      </c>
      <c r="AQ22" s="10">
        <v>1</v>
      </c>
      <c r="AR22" s="10">
        <v>1</v>
      </c>
      <c r="AS22" s="10">
        <v>1</v>
      </c>
      <c r="AT22" s="10">
        <v>1</v>
      </c>
      <c r="AU22" s="14">
        <v>1</v>
      </c>
      <c r="AV22" s="14">
        <v>1</v>
      </c>
      <c r="AW22" s="14">
        <v>1</v>
      </c>
      <c r="AX22" s="14">
        <v>1</v>
      </c>
      <c r="AY22" s="10">
        <v>1</v>
      </c>
      <c r="AZ22" s="10">
        <v>1</v>
      </c>
      <c r="BA22" s="10">
        <v>1</v>
      </c>
      <c r="BB22" s="10">
        <v>1</v>
      </c>
      <c r="BC22" s="14">
        <v>1</v>
      </c>
      <c r="BD22" s="14">
        <v>1</v>
      </c>
      <c r="BE22" s="14">
        <v>1</v>
      </c>
      <c r="BF22" s="14">
        <v>1</v>
      </c>
      <c r="BG22" s="10">
        <v>1</v>
      </c>
      <c r="BH22" s="10">
        <v>1</v>
      </c>
      <c r="BI22" s="22">
        <f t="shared" si="2"/>
        <v>33</v>
      </c>
      <c r="BK22" s="10">
        <v>4</v>
      </c>
      <c r="BL22" s="10">
        <v>4</v>
      </c>
      <c r="BM22" s="10">
        <v>4</v>
      </c>
      <c r="BN22" s="10">
        <v>4</v>
      </c>
      <c r="BO22" s="10">
        <v>4</v>
      </c>
      <c r="BP22" s="10">
        <v>4</v>
      </c>
      <c r="BQ22" s="10">
        <v>4</v>
      </c>
      <c r="BR22" s="10">
        <v>2</v>
      </c>
      <c r="BS22" s="10">
        <v>4</v>
      </c>
      <c r="BT22" s="10">
        <v>4</v>
      </c>
      <c r="BU22" s="10">
        <v>4</v>
      </c>
      <c r="BV22" s="10">
        <v>4</v>
      </c>
      <c r="BW22" s="10">
        <v>4</v>
      </c>
      <c r="BX22" s="10">
        <v>4</v>
      </c>
      <c r="BY22" s="10">
        <v>4</v>
      </c>
      <c r="BZ22" s="10">
        <v>4</v>
      </c>
      <c r="CA22" s="10">
        <v>4</v>
      </c>
      <c r="CB22" s="10">
        <v>4</v>
      </c>
      <c r="CC22" s="10">
        <v>2</v>
      </c>
      <c r="CD22" s="22">
        <f t="shared" si="3"/>
        <v>72</v>
      </c>
      <c r="CE22" s="22">
        <f t="shared" si="4"/>
        <v>105</v>
      </c>
    </row>
    <row r="23" spans="1:274" s="9" customFormat="1" ht="6" customHeight="1" thickBot="1" x14ac:dyDescent="0.3">
      <c r="A23" s="128"/>
      <c r="B23" s="16"/>
      <c r="D23" s="36"/>
      <c r="T23" s="17"/>
      <c r="U23" s="17"/>
      <c r="V23" s="17"/>
      <c r="BI23" s="16"/>
      <c r="CE23" s="22"/>
    </row>
    <row r="24" spans="1:274" s="9" customFormat="1" x14ac:dyDescent="0.25">
      <c r="A24" s="158">
        <v>20</v>
      </c>
      <c r="B24" s="121" t="s">
        <v>100</v>
      </c>
      <c r="C24" s="62"/>
      <c r="D24" s="62"/>
      <c r="E24" s="62"/>
      <c r="F24" s="64"/>
      <c r="G24" s="93"/>
      <c r="H24" s="87"/>
      <c r="I24" s="72"/>
      <c r="J24" s="72"/>
      <c r="K24" s="72"/>
      <c r="L24" s="72"/>
      <c r="M24" s="72"/>
      <c r="N24" s="72"/>
      <c r="O24" s="72"/>
      <c r="P24" s="72"/>
      <c r="Q24" s="72"/>
      <c r="R24" s="72"/>
      <c r="S24" s="170"/>
      <c r="T24" s="17">
        <f t="shared" ref="T24:T25" si="5">+BI24</f>
        <v>36</v>
      </c>
      <c r="U24" s="17">
        <f>+CD24</f>
        <v>19</v>
      </c>
      <c r="V24" s="17">
        <f>+T24+U24</f>
        <v>55</v>
      </c>
      <c r="W24" s="99"/>
      <c r="X24" s="12"/>
      <c r="Y24" s="12">
        <v>1</v>
      </c>
      <c r="Z24" s="12">
        <v>1</v>
      </c>
      <c r="AA24" s="12">
        <v>1</v>
      </c>
      <c r="AB24" s="12">
        <v>1</v>
      </c>
      <c r="AC24" s="12">
        <v>1</v>
      </c>
      <c r="AD24" s="12">
        <v>1</v>
      </c>
      <c r="AE24" s="12">
        <v>1</v>
      </c>
      <c r="AF24" s="12">
        <v>1</v>
      </c>
      <c r="AG24" s="12">
        <v>1</v>
      </c>
      <c r="AH24" s="12">
        <v>1</v>
      </c>
      <c r="AI24" s="12">
        <v>1</v>
      </c>
      <c r="AJ24" s="12">
        <v>1</v>
      </c>
      <c r="AK24" s="12">
        <v>1</v>
      </c>
      <c r="AL24" s="12">
        <v>1</v>
      </c>
      <c r="AM24" s="12">
        <v>1</v>
      </c>
      <c r="AN24" s="12">
        <v>1</v>
      </c>
      <c r="AO24" s="12">
        <v>1</v>
      </c>
      <c r="AP24" s="12">
        <v>1</v>
      </c>
      <c r="AQ24" s="12">
        <v>1</v>
      </c>
      <c r="AR24" s="12">
        <v>1</v>
      </c>
      <c r="AS24" s="12">
        <v>1</v>
      </c>
      <c r="AT24" s="12">
        <v>1</v>
      </c>
      <c r="AU24" s="12">
        <v>1</v>
      </c>
      <c r="AV24" s="12">
        <v>1</v>
      </c>
      <c r="AW24" s="12">
        <v>1</v>
      </c>
      <c r="AX24" s="12">
        <v>1</v>
      </c>
      <c r="AY24" s="12">
        <v>1</v>
      </c>
      <c r="AZ24" s="12">
        <v>1</v>
      </c>
      <c r="BA24" s="12">
        <v>1</v>
      </c>
      <c r="BB24" s="12">
        <v>1</v>
      </c>
      <c r="BC24" s="12">
        <v>1</v>
      </c>
      <c r="BD24" s="12">
        <v>1</v>
      </c>
      <c r="BE24" s="12">
        <v>1</v>
      </c>
      <c r="BF24" s="12">
        <v>1</v>
      </c>
      <c r="BG24" s="12">
        <v>1</v>
      </c>
      <c r="BH24" s="12">
        <v>1</v>
      </c>
      <c r="BI24" s="22">
        <f t="shared" ref="BI24:BI25" si="6">SUM(W24:BH24)</f>
        <v>36</v>
      </c>
      <c r="BK24" s="12">
        <v>1</v>
      </c>
      <c r="BL24" s="12">
        <v>1</v>
      </c>
      <c r="BM24" s="12">
        <v>1</v>
      </c>
      <c r="BN24" s="12">
        <v>1</v>
      </c>
      <c r="BO24" s="12">
        <v>1</v>
      </c>
      <c r="BP24" s="12">
        <v>1</v>
      </c>
      <c r="BQ24" s="12">
        <v>1</v>
      </c>
      <c r="BR24" s="12">
        <v>1</v>
      </c>
      <c r="BS24" s="12">
        <v>1</v>
      </c>
      <c r="BT24" s="12">
        <v>1</v>
      </c>
      <c r="BU24" s="12">
        <v>1</v>
      </c>
      <c r="BV24" s="12">
        <v>1</v>
      </c>
      <c r="BW24" s="12">
        <v>1</v>
      </c>
      <c r="BX24" s="12">
        <v>1</v>
      </c>
      <c r="BY24" s="12">
        <v>1</v>
      </c>
      <c r="BZ24" s="12">
        <v>1</v>
      </c>
      <c r="CA24" s="12">
        <v>1</v>
      </c>
      <c r="CB24" s="12">
        <v>1</v>
      </c>
      <c r="CC24" s="12">
        <v>1</v>
      </c>
      <c r="CD24" s="22">
        <f t="shared" si="3"/>
        <v>19</v>
      </c>
      <c r="CE24" s="22">
        <f t="shared" si="4"/>
        <v>55</v>
      </c>
    </row>
    <row r="25" spans="1:274" s="9" customFormat="1" x14ac:dyDescent="0.25">
      <c r="A25" s="158">
        <v>21</v>
      </c>
      <c r="B25" s="122" t="s">
        <v>102</v>
      </c>
      <c r="C25" s="10"/>
      <c r="D25" s="35" t="s">
        <v>110</v>
      </c>
      <c r="E25" s="10"/>
      <c r="F25" s="64" t="s">
        <v>110</v>
      </c>
      <c r="G25" s="95"/>
      <c r="H25" s="88"/>
      <c r="I25" s="7"/>
      <c r="J25" s="7"/>
      <c r="K25" s="7"/>
      <c r="L25" s="7"/>
      <c r="M25" s="7"/>
      <c r="N25" s="7"/>
      <c r="O25" s="7"/>
      <c r="P25" s="7"/>
      <c r="Q25" s="7"/>
      <c r="R25" s="7"/>
      <c r="S25" s="171"/>
      <c r="T25" s="17">
        <f t="shared" si="5"/>
        <v>36</v>
      </c>
      <c r="U25" s="17">
        <f>+CD25</f>
        <v>19</v>
      </c>
      <c r="V25" s="17">
        <f>+T25+U25</f>
        <v>55</v>
      </c>
      <c r="W25" s="99"/>
      <c r="X25" s="12"/>
      <c r="Y25" s="12">
        <v>1</v>
      </c>
      <c r="Z25" s="12">
        <v>1</v>
      </c>
      <c r="AA25" s="12">
        <v>1</v>
      </c>
      <c r="AB25" s="12">
        <v>1</v>
      </c>
      <c r="AC25" s="12">
        <v>1</v>
      </c>
      <c r="AD25" s="12">
        <v>1</v>
      </c>
      <c r="AE25" s="12">
        <v>1</v>
      </c>
      <c r="AF25" s="12">
        <v>1</v>
      </c>
      <c r="AG25" s="12">
        <v>1</v>
      </c>
      <c r="AH25" s="12">
        <v>1</v>
      </c>
      <c r="AI25" s="12">
        <v>1</v>
      </c>
      <c r="AJ25" s="12">
        <v>1</v>
      </c>
      <c r="AK25" s="12">
        <v>1</v>
      </c>
      <c r="AL25" s="12">
        <v>1</v>
      </c>
      <c r="AM25" s="12">
        <v>1</v>
      </c>
      <c r="AN25" s="12">
        <v>1</v>
      </c>
      <c r="AO25" s="12">
        <v>1</v>
      </c>
      <c r="AP25" s="12">
        <v>1</v>
      </c>
      <c r="AQ25" s="12">
        <v>1</v>
      </c>
      <c r="AR25" s="12">
        <v>1</v>
      </c>
      <c r="AS25" s="12">
        <v>1</v>
      </c>
      <c r="AT25" s="12">
        <v>1</v>
      </c>
      <c r="AU25" s="12">
        <v>1</v>
      </c>
      <c r="AV25" s="12">
        <v>1</v>
      </c>
      <c r="AW25" s="12">
        <v>1</v>
      </c>
      <c r="AX25" s="12">
        <v>1</v>
      </c>
      <c r="AY25" s="12">
        <v>1</v>
      </c>
      <c r="AZ25" s="12">
        <v>1</v>
      </c>
      <c r="BA25" s="12">
        <v>1</v>
      </c>
      <c r="BB25" s="12">
        <v>1</v>
      </c>
      <c r="BC25" s="12">
        <v>1</v>
      </c>
      <c r="BD25" s="12">
        <v>1</v>
      </c>
      <c r="BE25" s="12">
        <v>1</v>
      </c>
      <c r="BF25" s="12">
        <v>1</v>
      </c>
      <c r="BG25" s="12">
        <v>1</v>
      </c>
      <c r="BH25" s="12">
        <v>1</v>
      </c>
      <c r="BI25" s="22">
        <f t="shared" si="6"/>
        <v>36</v>
      </c>
      <c r="BK25" s="12">
        <v>1</v>
      </c>
      <c r="BL25" s="12">
        <v>1</v>
      </c>
      <c r="BM25" s="12">
        <v>1</v>
      </c>
      <c r="BN25" s="12">
        <v>1</v>
      </c>
      <c r="BO25" s="12">
        <v>1</v>
      </c>
      <c r="BP25" s="12">
        <v>1</v>
      </c>
      <c r="BQ25" s="12">
        <v>1</v>
      </c>
      <c r="BR25" s="12">
        <v>1</v>
      </c>
      <c r="BS25" s="12">
        <v>1</v>
      </c>
      <c r="BT25" s="12">
        <v>1</v>
      </c>
      <c r="BU25" s="12">
        <v>1</v>
      </c>
      <c r="BV25" s="12">
        <v>1</v>
      </c>
      <c r="BW25" s="12">
        <v>1</v>
      </c>
      <c r="BX25" s="12">
        <v>1</v>
      </c>
      <c r="BY25" s="12">
        <v>1</v>
      </c>
      <c r="BZ25" s="12">
        <v>1</v>
      </c>
      <c r="CA25" s="12">
        <v>1</v>
      </c>
      <c r="CB25" s="12">
        <v>1</v>
      </c>
      <c r="CC25" s="12">
        <v>1</v>
      </c>
      <c r="CD25" s="22">
        <f t="shared" si="3"/>
        <v>19</v>
      </c>
      <c r="CE25" s="22">
        <f t="shared" si="4"/>
        <v>55</v>
      </c>
    </row>
    <row r="26" spans="1:274" s="9" customFormat="1" ht="15.75" thickBot="1" x14ac:dyDescent="0.3">
      <c r="A26" s="158">
        <v>22</v>
      </c>
      <c r="B26" s="123" t="s">
        <v>83</v>
      </c>
      <c r="C26" s="62"/>
      <c r="D26" s="62"/>
      <c r="E26" s="62"/>
      <c r="F26" s="63"/>
      <c r="G26" s="94"/>
      <c r="H26" s="89"/>
      <c r="I26" s="70"/>
      <c r="J26" s="70"/>
      <c r="K26" s="70"/>
      <c r="L26" s="70"/>
      <c r="M26" s="70"/>
      <c r="N26" s="70"/>
      <c r="O26" s="70"/>
      <c r="P26" s="70"/>
      <c r="Q26" s="70"/>
      <c r="R26" s="70"/>
      <c r="S26" s="169"/>
      <c r="T26" s="17">
        <f t="shared" si="1"/>
        <v>410</v>
      </c>
      <c r="U26" s="17">
        <f>+CD26</f>
        <v>418</v>
      </c>
      <c r="V26" s="17">
        <f>+T26+U26</f>
        <v>828</v>
      </c>
      <c r="W26" s="99"/>
      <c r="X26" s="12"/>
      <c r="Y26" s="12"/>
      <c r="Z26" s="12"/>
      <c r="AA26" s="12"/>
      <c r="AB26" s="12">
        <v>6</v>
      </c>
      <c r="AC26" s="12">
        <v>12</v>
      </c>
      <c r="AD26" s="12">
        <v>12</v>
      </c>
      <c r="AE26" s="12">
        <v>12</v>
      </c>
      <c r="AF26" s="12">
        <v>12</v>
      </c>
      <c r="AG26" s="12">
        <v>12</v>
      </c>
      <c r="AH26" s="12">
        <v>12</v>
      </c>
      <c r="AI26" s="12">
        <v>12</v>
      </c>
      <c r="AJ26" s="12">
        <v>12</v>
      </c>
      <c r="AK26" s="12">
        <v>12</v>
      </c>
      <c r="AL26" s="12">
        <v>12</v>
      </c>
      <c r="AM26" s="12">
        <v>12</v>
      </c>
      <c r="AN26" s="12">
        <v>12</v>
      </c>
      <c r="AO26" s="12">
        <v>12</v>
      </c>
      <c r="AP26" s="12">
        <v>12</v>
      </c>
      <c r="AQ26" s="12">
        <v>12</v>
      </c>
      <c r="AR26" s="12">
        <v>12</v>
      </c>
      <c r="AS26" s="12">
        <v>12</v>
      </c>
      <c r="AT26" s="12">
        <v>12</v>
      </c>
      <c r="AU26" s="12">
        <v>12</v>
      </c>
      <c r="AV26" s="12">
        <v>12</v>
      </c>
      <c r="AW26" s="12">
        <v>12</v>
      </c>
      <c r="AX26" s="12">
        <v>12</v>
      </c>
      <c r="AY26" s="12">
        <v>12</v>
      </c>
      <c r="AZ26" s="12">
        <v>16</v>
      </c>
      <c r="BA26" s="12">
        <v>16</v>
      </c>
      <c r="BB26" s="12">
        <v>16</v>
      </c>
      <c r="BC26" s="12">
        <v>16</v>
      </c>
      <c r="BD26" s="12">
        <v>16</v>
      </c>
      <c r="BE26" s="12">
        <v>16</v>
      </c>
      <c r="BF26" s="12">
        <v>16</v>
      </c>
      <c r="BG26" s="12">
        <v>8</v>
      </c>
      <c r="BH26" s="12">
        <v>8</v>
      </c>
      <c r="BI26" s="22">
        <f t="shared" si="2"/>
        <v>410</v>
      </c>
      <c r="BK26" s="12">
        <v>22</v>
      </c>
      <c r="BL26" s="12">
        <v>22</v>
      </c>
      <c r="BM26" s="12">
        <v>22</v>
      </c>
      <c r="BN26" s="12">
        <v>22</v>
      </c>
      <c r="BO26" s="12">
        <v>22</v>
      </c>
      <c r="BP26" s="12">
        <v>22</v>
      </c>
      <c r="BQ26" s="12">
        <v>22</v>
      </c>
      <c r="BR26" s="12">
        <v>22</v>
      </c>
      <c r="BS26" s="12">
        <v>22</v>
      </c>
      <c r="BT26" s="12">
        <v>22</v>
      </c>
      <c r="BU26" s="12">
        <v>22</v>
      </c>
      <c r="BV26" s="12">
        <v>22</v>
      </c>
      <c r="BW26" s="12">
        <v>22</v>
      </c>
      <c r="BX26" s="12">
        <v>22</v>
      </c>
      <c r="BY26" s="12">
        <v>22</v>
      </c>
      <c r="BZ26" s="12">
        <v>22</v>
      </c>
      <c r="CA26" s="12">
        <v>22</v>
      </c>
      <c r="CB26" s="12">
        <v>22</v>
      </c>
      <c r="CC26" s="12">
        <v>22</v>
      </c>
      <c r="CD26" s="22">
        <f t="shared" si="3"/>
        <v>418</v>
      </c>
      <c r="CE26" s="22">
        <f t="shared" si="4"/>
        <v>828</v>
      </c>
    </row>
    <row r="27" spans="1:274" s="9" customFormat="1" ht="5.25" customHeight="1" thickBot="1" x14ac:dyDescent="0.3">
      <c r="A27" s="128"/>
      <c r="B27" s="16"/>
      <c r="D27" s="36"/>
      <c r="T27" s="17"/>
      <c r="U27" s="17"/>
      <c r="V27" s="17"/>
      <c r="BI27" s="16"/>
      <c r="CE27" s="22"/>
    </row>
    <row r="28" spans="1:274" s="9" customFormat="1" ht="15.75" thickBot="1" x14ac:dyDescent="0.3">
      <c r="A28" s="158">
        <v>23</v>
      </c>
      <c r="B28" s="124" t="s">
        <v>82</v>
      </c>
      <c r="C28" s="62"/>
      <c r="D28" s="62"/>
      <c r="E28" s="62"/>
      <c r="F28" s="62"/>
      <c r="G28" s="92"/>
      <c r="H28" s="90"/>
      <c r="I28" s="77"/>
      <c r="J28" s="77"/>
      <c r="K28" s="77"/>
      <c r="L28" s="77"/>
      <c r="M28" s="77"/>
      <c r="N28" s="77"/>
      <c r="O28" s="77"/>
      <c r="P28" s="77"/>
      <c r="Q28" s="77"/>
      <c r="R28" s="77"/>
      <c r="S28" s="172"/>
      <c r="T28" s="17">
        <f t="shared" si="1"/>
        <v>10</v>
      </c>
      <c r="U28" s="17">
        <f>+CD28</f>
        <v>8</v>
      </c>
      <c r="V28" s="17">
        <f>+T28+U28</f>
        <v>18</v>
      </c>
      <c r="W28" s="100"/>
      <c r="X28" s="10"/>
      <c r="Y28" s="10"/>
      <c r="Z28" s="10"/>
      <c r="AA28" s="10"/>
      <c r="AB28" s="10"/>
      <c r="AC28" s="10"/>
      <c r="AD28" s="10">
        <v>2</v>
      </c>
      <c r="AE28" s="10"/>
      <c r="AF28" s="10"/>
      <c r="AG28" s="10"/>
      <c r="AH28" s="10"/>
      <c r="AI28" s="10"/>
      <c r="AJ28" s="10"/>
      <c r="AK28" s="10"/>
      <c r="AL28" s="10">
        <v>2</v>
      </c>
      <c r="AM28" s="10"/>
      <c r="AN28" s="10"/>
      <c r="AO28" s="10"/>
      <c r="AP28" s="10"/>
      <c r="AQ28" s="10"/>
      <c r="AR28" s="10"/>
      <c r="AS28" s="10"/>
      <c r="AT28" s="10">
        <v>2</v>
      </c>
      <c r="AU28" s="10"/>
      <c r="AV28" s="10"/>
      <c r="AW28" s="10"/>
      <c r="AX28" s="10"/>
      <c r="AY28" s="10"/>
      <c r="AZ28" s="10"/>
      <c r="BA28" s="10"/>
      <c r="BB28" s="10">
        <v>2</v>
      </c>
      <c r="BC28" s="10"/>
      <c r="BD28" s="10"/>
      <c r="BE28" s="10"/>
      <c r="BF28" s="10"/>
      <c r="BG28" s="10"/>
      <c r="BH28" s="10">
        <v>2</v>
      </c>
      <c r="BI28" s="22">
        <f t="shared" si="2"/>
        <v>10</v>
      </c>
      <c r="BK28" s="10"/>
      <c r="BL28" s="10"/>
      <c r="BM28" s="10"/>
      <c r="BN28" s="10"/>
      <c r="BO28" s="10"/>
      <c r="BP28" s="10"/>
      <c r="BQ28" s="10"/>
      <c r="BR28" s="10">
        <v>4</v>
      </c>
      <c r="BS28" s="10"/>
      <c r="BT28" s="10"/>
      <c r="BU28" s="10"/>
      <c r="BV28" s="10"/>
      <c r="BW28" s="10"/>
      <c r="BX28" s="10"/>
      <c r="BY28" s="10"/>
      <c r="BZ28" s="10"/>
      <c r="CA28" s="10"/>
      <c r="CB28" s="10"/>
      <c r="CC28" s="10">
        <v>4</v>
      </c>
      <c r="CD28" s="22">
        <f t="shared" ref="CD28:CD30" si="7">SUM(BK28:CC28)</f>
        <v>8</v>
      </c>
      <c r="CE28" s="22">
        <f t="shared" si="4"/>
        <v>18</v>
      </c>
    </row>
    <row r="29" spans="1:274" s="9" customFormat="1" ht="5.25" customHeight="1" thickBot="1" x14ac:dyDescent="0.3">
      <c r="A29" s="128"/>
      <c r="B29" s="16"/>
      <c r="D29" s="36"/>
      <c r="T29" s="17"/>
      <c r="U29" s="17"/>
      <c r="V29" s="17"/>
      <c r="BI29" s="16"/>
      <c r="CE29" s="22"/>
    </row>
    <row r="30" spans="1:274" s="9" customFormat="1" ht="106.5" customHeight="1" thickBot="1" x14ac:dyDescent="0.3">
      <c r="A30" s="158">
        <v>24</v>
      </c>
      <c r="B30" s="160" t="s">
        <v>98</v>
      </c>
      <c r="C30" s="130"/>
      <c r="D30" s="130"/>
      <c r="E30" s="130"/>
      <c r="F30" s="130"/>
      <c r="G30" s="91"/>
      <c r="H30" s="90"/>
      <c r="I30" s="77"/>
      <c r="J30" s="77"/>
      <c r="K30" s="77"/>
      <c r="L30" s="77"/>
      <c r="M30" s="77"/>
      <c r="N30" s="77"/>
      <c r="O30" s="77"/>
      <c r="P30" s="77"/>
      <c r="Q30" s="77"/>
      <c r="R30" s="77"/>
      <c r="S30" s="172"/>
      <c r="T30" s="17">
        <f t="shared" si="1"/>
        <v>97</v>
      </c>
      <c r="U30" s="17">
        <f>+CD30</f>
        <v>90</v>
      </c>
      <c r="V30" s="17">
        <f>+T30+U30</f>
        <v>187</v>
      </c>
      <c r="W30" s="98">
        <v>1</v>
      </c>
      <c r="X30" s="14">
        <v>2</v>
      </c>
      <c r="Y30" s="10">
        <v>0</v>
      </c>
      <c r="Z30" s="10">
        <v>0</v>
      </c>
      <c r="AA30" s="10">
        <v>0</v>
      </c>
      <c r="AB30" s="10">
        <v>1</v>
      </c>
      <c r="AC30" s="10">
        <v>1</v>
      </c>
      <c r="AD30" s="10">
        <v>5</v>
      </c>
      <c r="AE30" s="10">
        <v>1</v>
      </c>
      <c r="AF30" s="10">
        <v>1</v>
      </c>
      <c r="AG30" s="10">
        <v>1</v>
      </c>
      <c r="AH30" s="10">
        <v>3</v>
      </c>
      <c r="AI30" s="10">
        <v>2</v>
      </c>
      <c r="AJ30" s="10">
        <v>3</v>
      </c>
      <c r="AK30" s="10">
        <v>3</v>
      </c>
      <c r="AL30" s="10">
        <v>1</v>
      </c>
      <c r="AM30" s="10">
        <v>3</v>
      </c>
      <c r="AN30" s="10">
        <v>3</v>
      </c>
      <c r="AO30" s="10">
        <v>3</v>
      </c>
      <c r="AP30" s="10">
        <v>1</v>
      </c>
      <c r="AQ30" s="10">
        <v>3</v>
      </c>
      <c r="AR30" s="10">
        <v>3</v>
      </c>
      <c r="AS30" s="10">
        <v>1</v>
      </c>
      <c r="AT30" s="10">
        <v>5</v>
      </c>
      <c r="AU30" s="10">
        <v>6</v>
      </c>
      <c r="AV30" s="10">
        <v>1</v>
      </c>
      <c r="AW30" s="10">
        <v>3</v>
      </c>
      <c r="AX30" s="10">
        <v>5</v>
      </c>
      <c r="AY30" s="10">
        <v>3</v>
      </c>
      <c r="AZ30" s="10">
        <v>3</v>
      </c>
      <c r="BA30" s="10">
        <v>3</v>
      </c>
      <c r="BB30" s="10">
        <v>1</v>
      </c>
      <c r="BC30" s="10">
        <v>3</v>
      </c>
      <c r="BD30" s="10">
        <v>3</v>
      </c>
      <c r="BE30" s="10">
        <v>3</v>
      </c>
      <c r="BF30" s="10">
        <v>1</v>
      </c>
      <c r="BG30" s="10">
        <v>8</v>
      </c>
      <c r="BH30" s="10">
        <v>7</v>
      </c>
      <c r="BI30" s="22">
        <f t="shared" si="2"/>
        <v>97</v>
      </c>
      <c r="BK30" s="10">
        <v>5</v>
      </c>
      <c r="BL30" s="10">
        <v>5</v>
      </c>
      <c r="BM30" s="10">
        <v>5</v>
      </c>
      <c r="BN30" s="10">
        <v>5</v>
      </c>
      <c r="BO30" s="10">
        <v>5</v>
      </c>
      <c r="BP30" s="10">
        <v>5</v>
      </c>
      <c r="BQ30" s="10">
        <v>5</v>
      </c>
      <c r="BR30" s="10">
        <v>3</v>
      </c>
      <c r="BS30" s="10">
        <v>5</v>
      </c>
      <c r="BT30" s="10">
        <v>5</v>
      </c>
      <c r="BU30" s="10">
        <v>5</v>
      </c>
      <c r="BV30" s="10">
        <v>5</v>
      </c>
      <c r="BW30" s="10">
        <v>5</v>
      </c>
      <c r="BX30" s="10">
        <v>5</v>
      </c>
      <c r="BY30" s="10">
        <v>5</v>
      </c>
      <c r="BZ30" s="10">
        <v>5</v>
      </c>
      <c r="CA30" s="10">
        <v>5</v>
      </c>
      <c r="CB30" s="10">
        <v>4</v>
      </c>
      <c r="CC30" s="10">
        <v>3</v>
      </c>
      <c r="CD30" s="22">
        <f t="shared" si="7"/>
        <v>90</v>
      </c>
      <c r="CE30" s="22">
        <f t="shared" si="4"/>
        <v>187</v>
      </c>
    </row>
    <row r="31" spans="1:274" s="3" customFormat="1" ht="15.75" x14ac:dyDescent="0.25">
      <c r="C31" s="9"/>
      <c r="D31" s="36"/>
      <c r="E31" s="9"/>
      <c r="F31" s="9"/>
      <c r="T31" s="96">
        <f>SUM(T3:T30)</f>
        <v>1330</v>
      </c>
      <c r="U31" s="96">
        <f>SUM(U3:U30)</f>
        <v>665</v>
      </c>
      <c r="V31" s="96">
        <f t="shared" ref="V31:BI31" si="8">SUM(V3:V30)</f>
        <v>1995</v>
      </c>
      <c r="W31" s="100">
        <f t="shared" si="8"/>
        <v>35</v>
      </c>
      <c r="X31" s="10">
        <f t="shared" si="8"/>
        <v>35</v>
      </c>
      <c r="Y31" s="10">
        <f t="shared" si="8"/>
        <v>35</v>
      </c>
      <c r="Z31" s="10">
        <f t="shared" si="8"/>
        <v>35</v>
      </c>
      <c r="AA31" s="10">
        <f t="shared" si="8"/>
        <v>35</v>
      </c>
      <c r="AB31" s="10">
        <f t="shared" si="8"/>
        <v>35</v>
      </c>
      <c r="AC31" s="10">
        <f t="shared" si="8"/>
        <v>35</v>
      </c>
      <c r="AD31" s="10">
        <f t="shared" si="8"/>
        <v>35</v>
      </c>
      <c r="AE31" s="10">
        <f t="shared" si="8"/>
        <v>35</v>
      </c>
      <c r="AF31" s="10">
        <f t="shared" si="8"/>
        <v>35</v>
      </c>
      <c r="AG31" s="10">
        <f t="shared" si="8"/>
        <v>35</v>
      </c>
      <c r="AH31" s="10">
        <f t="shared" si="8"/>
        <v>35</v>
      </c>
      <c r="AI31" s="10">
        <f t="shared" si="8"/>
        <v>35</v>
      </c>
      <c r="AJ31" s="10">
        <f t="shared" si="8"/>
        <v>35</v>
      </c>
      <c r="AK31" s="10">
        <f t="shared" si="8"/>
        <v>35</v>
      </c>
      <c r="AL31" s="10">
        <f t="shared" si="8"/>
        <v>35</v>
      </c>
      <c r="AM31" s="10">
        <f t="shared" si="8"/>
        <v>35</v>
      </c>
      <c r="AN31" s="10">
        <f t="shared" si="8"/>
        <v>35</v>
      </c>
      <c r="AO31" s="10">
        <f t="shared" si="8"/>
        <v>35</v>
      </c>
      <c r="AP31" s="10">
        <f t="shared" si="8"/>
        <v>35</v>
      </c>
      <c r="AQ31" s="10">
        <f t="shared" si="8"/>
        <v>35</v>
      </c>
      <c r="AR31" s="10">
        <f t="shared" si="8"/>
        <v>35</v>
      </c>
      <c r="AS31" s="10">
        <f t="shared" si="8"/>
        <v>35</v>
      </c>
      <c r="AT31" s="10">
        <f t="shared" si="8"/>
        <v>35</v>
      </c>
      <c r="AU31" s="10">
        <f t="shared" si="8"/>
        <v>35</v>
      </c>
      <c r="AV31" s="10">
        <f t="shared" si="8"/>
        <v>35</v>
      </c>
      <c r="AW31" s="10">
        <f t="shared" si="8"/>
        <v>35</v>
      </c>
      <c r="AX31" s="10">
        <f t="shared" si="8"/>
        <v>35</v>
      </c>
      <c r="AY31" s="10">
        <f t="shared" si="8"/>
        <v>35</v>
      </c>
      <c r="AZ31" s="10">
        <f t="shared" si="8"/>
        <v>35</v>
      </c>
      <c r="BA31" s="10">
        <f t="shared" si="8"/>
        <v>35</v>
      </c>
      <c r="BB31" s="10">
        <f t="shared" si="8"/>
        <v>35</v>
      </c>
      <c r="BC31" s="10">
        <f t="shared" si="8"/>
        <v>35</v>
      </c>
      <c r="BD31" s="10">
        <f t="shared" si="8"/>
        <v>35</v>
      </c>
      <c r="BE31" s="10">
        <f t="shared" si="8"/>
        <v>35</v>
      </c>
      <c r="BF31" s="10">
        <f t="shared" si="8"/>
        <v>35</v>
      </c>
      <c r="BG31" s="10">
        <f t="shared" si="8"/>
        <v>35</v>
      </c>
      <c r="BH31" s="10">
        <f t="shared" si="8"/>
        <v>35</v>
      </c>
      <c r="BI31" s="96">
        <f t="shared" si="8"/>
        <v>1330</v>
      </c>
      <c r="BK31" s="10">
        <f t="shared" ref="BK31:CE31" si="9">SUM(BK3:BK30)</f>
        <v>35</v>
      </c>
      <c r="BL31" s="10">
        <f t="shared" si="9"/>
        <v>35</v>
      </c>
      <c r="BM31" s="10">
        <f t="shared" si="9"/>
        <v>35</v>
      </c>
      <c r="BN31" s="10">
        <f t="shared" si="9"/>
        <v>35</v>
      </c>
      <c r="BO31" s="10">
        <f t="shared" si="9"/>
        <v>35</v>
      </c>
      <c r="BP31" s="10">
        <f t="shared" si="9"/>
        <v>35</v>
      </c>
      <c r="BQ31" s="10">
        <f t="shared" si="9"/>
        <v>35</v>
      </c>
      <c r="BR31" s="10">
        <f t="shared" si="9"/>
        <v>35</v>
      </c>
      <c r="BS31" s="10">
        <f t="shared" si="9"/>
        <v>35</v>
      </c>
      <c r="BT31" s="10">
        <f t="shared" si="9"/>
        <v>35</v>
      </c>
      <c r="BU31" s="10">
        <f t="shared" si="9"/>
        <v>35</v>
      </c>
      <c r="BV31" s="10">
        <f t="shared" si="9"/>
        <v>35</v>
      </c>
      <c r="BW31" s="10">
        <f t="shared" si="9"/>
        <v>35</v>
      </c>
      <c r="BX31" s="10">
        <f t="shared" si="9"/>
        <v>35</v>
      </c>
      <c r="BY31" s="10">
        <f t="shared" si="9"/>
        <v>35</v>
      </c>
      <c r="BZ31" s="10">
        <f t="shared" si="9"/>
        <v>35</v>
      </c>
      <c r="CA31" s="10">
        <f t="shared" si="9"/>
        <v>35</v>
      </c>
      <c r="CB31" s="10">
        <f t="shared" si="9"/>
        <v>35</v>
      </c>
      <c r="CC31" s="10">
        <f t="shared" si="9"/>
        <v>35</v>
      </c>
      <c r="CD31" s="96">
        <f t="shared" si="9"/>
        <v>665</v>
      </c>
      <c r="CE31" s="96">
        <f t="shared" si="9"/>
        <v>1995</v>
      </c>
    </row>
  </sheetData>
  <mergeCells count="10">
    <mergeCell ref="AU1:AX1"/>
    <mergeCell ref="AY1:BB1"/>
    <mergeCell ref="BC1:BF1"/>
    <mergeCell ref="B15:B16"/>
    <mergeCell ref="W1:Z1"/>
    <mergeCell ref="AA1:AD1"/>
    <mergeCell ref="AE1:AH1"/>
    <mergeCell ref="AI1:AL1"/>
    <mergeCell ref="AM1:AP1"/>
    <mergeCell ref="AQ1:AT1"/>
  </mergeCells>
  <printOptions horizontalCentered="1" verticalCentered="1"/>
  <pageMargins left="0.23622047244094491" right="0.23622047244094491" top="0.74803149606299213" bottom="0.74803149606299213" header="0.31496062992125984" footer="0.31496062992125984"/>
  <pageSetup scale="3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C4748-71EF-48D2-ADB7-227BB32C7C17}">
  <dimension ref="A1:IS98"/>
  <sheetViews>
    <sheetView topLeftCell="BF51" zoomScaleNormal="100" workbookViewId="0">
      <selection activeCell="B8" sqref="B8:B10"/>
    </sheetView>
  </sheetViews>
  <sheetFormatPr baseColWidth="10" defaultColWidth="11.42578125" defaultRowHeight="15" x14ac:dyDescent="0.25"/>
  <cols>
    <col min="1" max="1" width="3" style="3" bestFit="1" customWidth="1"/>
    <col min="2" max="2" width="45.85546875" customWidth="1"/>
    <col min="3" max="3" width="18.28515625" style="8" customWidth="1"/>
    <col min="4" max="16" width="3.7109375" customWidth="1"/>
    <col min="17" max="17" width="12.28515625" style="29" bestFit="1" customWidth="1"/>
    <col min="18" max="18" width="17.140625" style="29" bestFit="1" customWidth="1"/>
    <col min="19" max="56" width="3.7109375" customWidth="1"/>
    <col min="57" max="57" width="5" style="21" bestFit="1" customWidth="1"/>
    <col min="58" max="58" width="25.5703125" style="40" bestFit="1" customWidth="1"/>
    <col min="59" max="59" width="11.42578125" style="8"/>
    <col min="60" max="60" width="6.28515625" style="8" bestFit="1" customWidth="1"/>
    <col min="61" max="61" width="14.5703125" style="37" bestFit="1" customWidth="1"/>
    <col min="62" max="62" width="6.28515625" style="8" bestFit="1" customWidth="1"/>
    <col min="63" max="63" width="14.5703125" style="37" bestFit="1" customWidth="1"/>
    <col min="64" max="64" width="6.28515625" style="8" bestFit="1" customWidth="1"/>
    <col min="65" max="65" width="17.42578125" style="37" bestFit="1" customWidth="1"/>
    <col min="66" max="66" width="7.42578125" style="8" customWidth="1"/>
    <col min="67" max="67" width="15.5703125" bestFit="1" customWidth="1"/>
    <col min="68" max="68" width="6.28515625" style="8" bestFit="1" customWidth="1"/>
    <col min="69" max="69" width="15.140625" bestFit="1" customWidth="1"/>
    <col min="70" max="70" width="11.5703125" style="8" bestFit="1" customWidth="1"/>
    <col min="71" max="71" width="15.5703125" bestFit="1" customWidth="1"/>
    <col min="72" max="72" width="6.28515625" style="8" bestFit="1" customWidth="1"/>
    <col min="73" max="73" width="15.5703125" bestFit="1" customWidth="1"/>
    <col min="74" max="74" width="6.28515625" style="8" bestFit="1" customWidth="1"/>
    <col min="75" max="75" width="15.5703125" bestFit="1" customWidth="1"/>
    <col min="76" max="76" width="6.28515625" style="8" bestFit="1" customWidth="1"/>
    <col min="77" max="77" width="15.140625" bestFit="1" customWidth="1"/>
    <col min="78" max="78" width="6.28515625" style="8" bestFit="1" customWidth="1"/>
    <col min="79" max="79" width="17.28515625" bestFit="1" customWidth="1"/>
    <col min="80" max="80" width="6.28515625" style="8" bestFit="1" customWidth="1"/>
    <col min="81" max="81" width="18.28515625" bestFit="1" customWidth="1"/>
    <col min="82" max="82" width="6.28515625" style="8" bestFit="1" customWidth="1"/>
    <col min="83" max="83" width="16.85546875" bestFit="1" customWidth="1"/>
    <col min="84" max="84" width="15.85546875" bestFit="1" customWidth="1"/>
    <col min="85" max="85" width="16.85546875" style="37" bestFit="1" customWidth="1"/>
  </cols>
  <sheetData>
    <row r="1" spans="1:253" ht="15.75" thickBot="1" x14ac:dyDescent="0.3">
      <c r="S1" s="371" t="s">
        <v>87</v>
      </c>
      <c r="T1" s="372"/>
      <c r="U1" s="372"/>
      <c r="V1" s="372"/>
      <c r="W1" s="371" t="s">
        <v>88</v>
      </c>
      <c r="X1" s="372"/>
      <c r="Y1" s="372"/>
      <c r="Z1" s="372"/>
      <c r="AA1" s="371" t="s">
        <v>89</v>
      </c>
      <c r="AB1" s="372"/>
      <c r="AC1" s="372"/>
      <c r="AD1" s="372"/>
      <c r="AE1" s="371" t="s">
        <v>90</v>
      </c>
      <c r="AF1" s="372"/>
      <c r="AG1" s="372"/>
      <c r="AH1" s="372"/>
      <c r="AI1" s="371" t="s">
        <v>91</v>
      </c>
      <c r="AJ1" s="372"/>
      <c r="AK1" s="372"/>
      <c r="AL1" s="372"/>
      <c r="AM1" s="371" t="s">
        <v>92</v>
      </c>
      <c r="AN1" s="372"/>
      <c r="AO1" s="372"/>
      <c r="AP1" s="372"/>
      <c r="AQ1" s="371" t="s">
        <v>93</v>
      </c>
      <c r="AR1" s="372"/>
      <c r="AS1" s="372"/>
      <c r="AT1" s="372"/>
      <c r="AU1" s="371" t="s">
        <v>94</v>
      </c>
      <c r="AV1" s="372"/>
      <c r="AW1" s="372"/>
      <c r="AX1" s="372"/>
      <c r="AY1" s="371" t="s">
        <v>95</v>
      </c>
      <c r="AZ1" s="372"/>
      <c r="BA1" s="372"/>
      <c r="BB1" s="372"/>
      <c r="BF1" s="179" t="s">
        <v>121</v>
      </c>
      <c r="BG1" s="285">
        <f>+BS68</f>
        <v>47</v>
      </c>
      <c r="BH1" s="395" t="s">
        <v>87</v>
      </c>
      <c r="BI1" s="396"/>
      <c r="BJ1" s="395" t="s">
        <v>88</v>
      </c>
      <c r="BK1" s="397"/>
      <c r="BL1" s="395" t="s">
        <v>89</v>
      </c>
      <c r="BM1" s="397"/>
      <c r="BN1" s="395" t="s">
        <v>90</v>
      </c>
      <c r="BO1" s="397"/>
      <c r="BP1" s="395" t="s">
        <v>91</v>
      </c>
      <c r="BQ1" s="397"/>
      <c r="BR1" s="395" t="s">
        <v>92</v>
      </c>
      <c r="BS1" s="397"/>
      <c r="BT1" s="395" t="s">
        <v>93</v>
      </c>
      <c r="BU1" s="397"/>
      <c r="BV1" s="395" t="s">
        <v>94</v>
      </c>
      <c r="BW1" s="397"/>
      <c r="BX1" s="395" t="s">
        <v>95</v>
      </c>
      <c r="BY1" s="397"/>
      <c r="BZ1" s="395" t="s">
        <v>127</v>
      </c>
      <c r="CA1" s="397"/>
      <c r="CB1" s="395" t="s">
        <v>129</v>
      </c>
      <c r="CC1" s="397"/>
      <c r="CD1" s="395" t="s">
        <v>128</v>
      </c>
      <c r="CE1" s="397"/>
    </row>
    <row r="2" spans="1:253" ht="75.75" customHeight="1" x14ac:dyDescent="0.25">
      <c r="B2" s="195" t="s">
        <v>205</v>
      </c>
      <c r="C2" s="182" t="s">
        <v>31</v>
      </c>
      <c r="D2" s="183" t="s">
        <v>30</v>
      </c>
      <c r="E2" s="183" t="s">
        <v>32</v>
      </c>
      <c r="F2" s="183" t="s">
        <v>33</v>
      </c>
      <c r="G2" s="183" t="s">
        <v>34</v>
      </c>
      <c r="H2" s="183" t="s">
        <v>35</v>
      </c>
      <c r="I2" s="183" t="s">
        <v>36</v>
      </c>
      <c r="J2" s="183" t="s">
        <v>39</v>
      </c>
      <c r="K2" s="183" t="s">
        <v>37</v>
      </c>
      <c r="L2" s="183" t="s">
        <v>9</v>
      </c>
      <c r="M2" s="183" t="s">
        <v>40</v>
      </c>
      <c r="N2" s="183" t="s">
        <v>10</v>
      </c>
      <c r="O2" s="183" t="s">
        <v>22</v>
      </c>
      <c r="P2" s="183" t="s">
        <v>38</v>
      </c>
      <c r="Q2" s="184" t="s">
        <v>84</v>
      </c>
      <c r="R2" s="184" t="s">
        <v>84</v>
      </c>
      <c r="S2" s="185" t="s">
        <v>44</v>
      </c>
      <c r="T2" s="185" t="s">
        <v>45</v>
      </c>
      <c r="U2" s="185" t="s">
        <v>46</v>
      </c>
      <c r="V2" s="185" t="s">
        <v>47</v>
      </c>
      <c r="W2" s="186" t="s">
        <v>48</v>
      </c>
      <c r="X2" s="186" t="s">
        <v>49</v>
      </c>
      <c r="Y2" s="186" t="s">
        <v>50</v>
      </c>
      <c r="Z2" s="186" t="s">
        <v>51</v>
      </c>
      <c r="AA2" s="185" t="s">
        <v>52</v>
      </c>
      <c r="AB2" s="185" t="s">
        <v>53</v>
      </c>
      <c r="AC2" s="185" t="s">
        <v>54</v>
      </c>
      <c r="AD2" s="185" t="s">
        <v>55</v>
      </c>
      <c r="AE2" s="186" t="s">
        <v>56</v>
      </c>
      <c r="AF2" s="186" t="s">
        <v>57</v>
      </c>
      <c r="AG2" s="186" t="s">
        <v>58</v>
      </c>
      <c r="AH2" s="186" t="s">
        <v>59</v>
      </c>
      <c r="AI2" s="185" t="s">
        <v>60</v>
      </c>
      <c r="AJ2" s="185" t="s">
        <v>61</v>
      </c>
      <c r="AK2" s="185" t="s">
        <v>62</v>
      </c>
      <c r="AL2" s="185" t="s">
        <v>63</v>
      </c>
      <c r="AM2" s="186" t="s">
        <v>64</v>
      </c>
      <c r="AN2" s="186" t="s">
        <v>65</v>
      </c>
      <c r="AO2" s="186" t="s">
        <v>66</v>
      </c>
      <c r="AP2" s="186" t="s">
        <v>67</v>
      </c>
      <c r="AQ2" s="185" t="s">
        <v>68</v>
      </c>
      <c r="AR2" s="185" t="s">
        <v>69</v>
      </c>
      <c r="AS2" s="185" t="s">
        <v>70</v>
      </c>
      <c r="AT2" s="185" t="s">
        <v>71</v>
      </c>
      <c r="AU2" s="186" t="s">
        <v>72</v>
      </c>
      <c r="AV2" s="186" t="s">
        <v>73</v>
      </c>
      <c r="AW2" s="186" t="s">
        <v>74</v>
      </c>
      <c r="AX2" s="186" t="s">
        <v>75</v>
      </c>
      <c r="AY2" s="185" t="s">
        <v>76</v>
      </c>
      <c r="AZ2" s="185" t="s">
        <v>77</v>
      </c>
      <c r="BA2" s="185" t="s">
        <v>78</v>
      </c>
      <c r="BB2" s="185" t="s">
        <v>79</v>
      </c>
      <c r="BC2" s="186" t="s">
        <v>80</v>
      </c>
      <c r="BD2" s="186" t="s">
        <v>81</v>
      </c>
      <c r="BE2" s="187" t="s">
        <v>213</v>
      </c>
      <c r="BH2" s="206" t="s">
        <v>117</v>
      </c>
      <c r="BI2" s="224" t="s">
        <v>220</v>
      </c>
      <c r="BJ2" s="206" t="s">
        <v>117</v>
      </c>
      <c r="BK2" s="207" t="s">
        <v>220</v>
      </c>
      <c r="BL2" s="206" t="s">
        <v>117</v>
      </c>
      <c r="BM2" s="207" t="s">
        <v>220</v>
      </c>
      <c r="BN2" s="206" t="s">
        <v>117</v>
      </c>
      <c r="BO2" s="207" t="s">
        <v>220</v>
      </c>
      <c r="BP2" s="206" t="s">
        <v>117</v>
      </c>
      <c r="BQ2" s="207" t="s">
        <v>220</v>
      </c>
      <c r="BR2" s="206" t="s">
        <v>117</v>
      </c>
      <c r="BS2" s="207" t="s">
        <v>220</v>
      </c>
      <c r="BT2" s="206" t="s">
        <v>117</v>
      </c>
      <c r="BU2" s="207" t="s">
        <v>220</v>
      </c>
      <c r="BV2" s="206" t="s">
        <v>117</v>
      </c>
      <c r="BW2" s="207" t="s">
        <v>220</v>
      </c>
      <c r="BX2" s="206" t="s">
        <v>117</v>
      </c>
      <c r="BY2" s="207" t="s">
        <v>220</v>
      </c>
      <c r="BZ2" s="206" t="s">
        <v>117</v>
      </c>
      <c r="CA2" s="207" t="s">
        <v>220</v>
      </c>
      <c r="CB2" s="206" t="s">
        <v>117</v>
      </c>
      <c r="CC2" s="207" t="s">
        <v>220</v>
      </c>
      <c r="CD2" s="206" t="s">
        <v>117</v>
      </c>
      <c r="CE2" s="224" t="s">
        <v>220</v>
      </c>
      <c r="CF2" s="61" t="s">
        <v>223</v>
      </c>
      <c r="CG2" s="1" t="s">
        <v>225</v>
      </c>
    </row>
    <row r="3" spans="1:253" s="3" customFormat="1" x14ac:dyDescent="0.25">
      <c r="A3" s="3">
        <v>1</v>
      </c>
      <c r="B3" s="196" t="s">
        <v>209</v>
      </c>
      <c r="C3" s="10" t="s">
        <v>208</v>
      </c>
      <c r="D3" s="23"/>
      <c r="E3" s="6"/>
      <c r="F3" s="6"/>
      <c r="G3" s="6"/>
      <c r="H3" s="6"/>
      <c r="I3" s="6"/>
      <c r="J3" s="6"/>
      <c r="K3" s="6"/>
      <c r="L3" s="6"/>
      <c r="M3" s="6"/>
      <c r="N3" s="6"/>
      <c r="O3" s="6"/>
      <c r="P3" s="6"/>
      <c r="Q3" s="30">
        <v>2250</v>
      </c>
      <c r="R3" s="33">
        <v>2250</v>
      </c>
      <c r="S3" s="14">
        <v>2</v>
      </c>
      <c r="T3" s="14">
        <v>2</v>
      </c>
      <c r="U3" s="14">
        <v>2</v>
      </c>
      <c r="V3" s="14">
        <v>2</v>
      </c>
      <c r="W3" s="10">
        <v>2</v>
      </c>
      <c r="X3" s="10">
        <v>2</v>
      </c>
      <c r="Y3" s="10">
        <v>2</v>
      </c>
      <c r="Z3" s="10">
        <v>2</v>
      </c>
      <c r="AA3" s="14">
        <v>2</v>
      </c>
      <c r="AB3" s="14">
        <v>2</v>
      </c>
      <c r="AC3" s="14">
        <v>2</v>
      </c>
      <c r="AD3" s="14">
        <v>2</v>
      </c>
      <c r="AE3" s="10">
        <v>2</v>
      </c>
      <c r="AF3" s="10">
        <v>2</v>
      </c>
      <c r="AG3" s="10">
        <v>2</v>
      </c>
      <c r="AH3" s="10">
        <v>2</v>
      </c>
      <c r="AI3" s="14">
        <v>2</v>
      </c>
      <c r="AJ3" s="14">
        <v>2</v>
      </c>
      <c r="AK3" s="14">
        <v>2</v>
      </c>
      <c r="AL3" s="14">
        <v>2</v>
      </c>
      <c r="AM3" s="10">
        <v>2</v>
      </c>
      <c r="AN3" s="10">
        <v>2</v>
      </c>
      <c r="AO3" s="10">
        <v>2</v>
      </c>
      <c r="AP3" s="10">
        <v>2</v>
      </c>
      <c r="AQ3" s="14">
        <v>2</v>
      </c>
      <c r="AR3" s="14">
        <v>2</v>
      </c>
      <c r="AS3" s="14">
        <v>2</v>
      </c>
      <c r="AT3" s="14">
        <v>2</v>
      </c>
      <c r="AU3" s="10">
        <v>2</v>
      </c>
      <c r="AV3" s="10">
        <v>2</v>
      </c>
      <c r="AW3" s="10">
        <v>2</v>
      </c>
      <c r="AX3" s="10">
        <v>2</v>
      </c>
      <c r="AY3" s="14">
        <v>2</v>
      </c>
      <c r="AZ3" s="14">
        <v>2</v>
      </c>
      <c r="BA3" s="14">
        <v>2</v>
      </c>
      <c r="BB3" s="14">
        <v>2</v>
      </c>
      <c r="BC3" s="10">
        <v>2</v>
      </c>
      <c r="BD3" s="10">
        <v>2</v>
      </c>
      <c r="BE3" s="22">
        <v>114</v>
      </c>
      <c r="BF3" s="188" t="s">
        <v>210</v>
      </c>
      <c r="BG3" s="194">
        <v>250</v>
      </c>
      <c r="BH3" s="74">
        <v>8</v>
      </c>
      <c r="BI3" s="194">
        <f>+$BG$3*$BG$1</f>
        <v>11750</v>
      </c>
      <c r="BJ3" s="74">
        <v>8</v>
      </c>
      <c r="BK3" s="208">
        <f>+$BG$3*$BG$1</f>
        <v>11750</v>
      </c>
      <c r="BL3" s="74">
        <v>8</v>
      </c>
      <c r="BM3" s="208">
        <f>+$BG$3*$BG$1</f>
        <v>11750</v>
      </c>
      <c r="BN3" s="74">
        <v>8</v>
      </c>
      <c r="BO3" s="208">
        <f>+$BG$3*$BG$1</f>
        <v>11750</v>
      </c>
      <c r="BP3" s="74">
        <v>8</v>
      </c>
      <c r="BQ3" s="208">
        <f>+$BG$3*$BG$1</f>
        <v>11750</v>
      </c>
      <c r="BR3" s="74">
        <v>8</v>
      </c>
      <c r="BS3" s="208">
        <f>+$BG$3*$BG$1</f>
        <v>11750</v>
      </c>
      <c r="BT3" s="74">
        <v>8</v>
      </c>
      <c r="BU3" s="208">
        <f>+$BG$3*$BG$1</f>
        <v>11750</v>
      </c>
      <c r="BV3" s="74">
        <v>8</v>
      </c>
      <c r="BW3" s="208">
        <f>+$BG$3*$BG$1</f>
        <v>11750</v>
      </c>
      <c r="BX3" s="74">
        <v>8</v>
      </c>
      <c r="BY3" s="208">
        <f>+$BG$3*$BG$1</f>
        <v>11750</v>
      </c>
      <c r="BZ3" s="74">
        <v>4</v>
      </c>
      <c r="CA3" s="208">
        <f>+$BG$3*$BG$1*0.5</f>
        <v>5875</v>
      </c>
      <c r="CB3" s="74">
        <v>8</v>
      </c>
      <c r="CC3" s="208">
        <f>+$BG$3*$BG$1</f>
        <v>11750</v>
      </c>
      <c r="CD3" s="74">
        <v>6</v>
      </c>
      <c r="CE3" s="194">
        <f>+$BG$3*$BG$1*0.75</f>
        <v>8812.5</v>
      </c>
      <c r="CF3" s="64">
        <f>+BH3+BJ3+BL3+BN3+BP3+BR3+BT3+BV3+BX3+BZ3+CB3*4+CD3</f>
        <v>114</v>
      </c>
      <c r="CG3" s="181">
        <f>+BI3+BK3+BM3+BO3+BQ3+BS3+BU3+BW3+BY3+CA3+CC3*4+CE3</f>
        <v>167437.5</v>
      </c>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row>
    <row r="4" spans="1:253" s="3" customFormat="1" x14ac:dyDescent="0.25">
      <c r="A4" s="3">
        <v>2</v>
      </c>
      <c r="B4" s="197" t="s">
        <v>4</v>
      </c>
      <c r="C4" s="62"/>
      <c r="D4" s="6"/>
      <c r="E4" s="23"/>
      <c r="F4" s="23"/>
      <c r="G4" s="4"/>
      <c r="H4" s="4"/>
      <c r="I4" s="6"/>
      <c r="J4" s="6"/>
      <c r="K4" s="6"/>
      <c r="L4" s="6"/>
      <c r="M4" s="6"/>
      <c r="N4" s="6"/>
      <c r="O4" s="6"/>
      <c r="P4" s="6"/>
      <c r="Q4" s="30">
        <v>190</v>
      </c>
      <c r="R4" s="33">
        <v>190</v>
      </c>
      <c r="S4" s="14">
        <v>1</v>
      </c>
      <c r="T4" s="14"/>
      <c r="U4" s="14"/>
      <c r="V4" s="14"/>
      <c r="W4" s="10"/>
      <c r="X4" s="10"/>
      <c r="Y4" s="10"/>
      <c r="Z4" s="10"/>
      <c r="AA4" s="14"/>
      <c r="AB4" s="14"/>
      <c r="AC4" s="14"/>
      <c r="AD4" s="14"/>
      <c r="AE4" s="10">
        <v>1</v>
      </c>
      <c r="AF4" s="10"/>
      <c r="AG4" s="10"/>
      <c r="AH4" s="10"/>
      <c r="AI4" s="14"/>
      <c r="AJ4" s="14"/>
      <c r="AK4" s="14"/>
      <c r="AL4" s="14"/>
      <c r="AM4" s="10"/>
      <c r="AN4" s="10"/>
      <c r="AO4" s="10"/>
      <c r="AP4" s="10"/>
      <c r="AQ4" s="14">
        <v>1</v>
      </c>
      <c r="AR4" s="14"/>
      <c r="AS4" s="14"/>
      <c r="AT4" s="14"/>
      <c r="AU4" s="10"/>
      <c r="AV4" s="10"/>
      <c r="AW4" s="10"/>
      <c r="AX4" s="10"/>
      <c r="AY4" s="14"/>
      <c r="AZ4" s="14"/>
      <c r="BA4" s="14"/>
      <c r="BB4" s="14"/>
      <c r="BC4" s="10">
        <v>1</v>
      </c>
      <c r="BD4" s="10"/>
      <c r="BE4" s="22">
        <v>5</v>
      </c>
      <c r="BF4" s="180" t="s">
        <v>119</v>
      </c>
      <c r="BG4" s="194">
        <v>190</v>
      </c>
      <c r="BH4" s="74">
        <v>1</v>
      </c>
      <c r="BI4" s="194">
        <f>+$BG4*$BG$1</f>
        <v>8930</v>
      </c>
      <c r="BJ4" s="248"/>
      <c r="BK4" s="211"/>
      <c r="BL4" s="248"/>
      <c r="BM4" s="211"/>
      <c r="BN4" s="74">
        <v>1</v>
      </c>
      <c r="BO4" s="208">
        <f>+$BG4*$BG$1</f>
        <v>8930</v>
      </c>
      <c r="BP4" s="248"/>
      <c r="BQ4" s="211"/>
      <c r="BR4" s="248"/>
      <c r="BS4" s="211"/>
      <c r="BT4" s="74">
        <v>1</v>
      </c>
      <c r="BU4" s="208">
        <f>+$BG4*$BG$1</f>
        <v>8930</v>
      </c>
      <c r="BV4" s="248"/>
      <c r="BW4" s="211"/>
      <c r="BX4" s="248"/>
      <c r="BY4" s="211"/>
      <c r="BZ4" s="74">
        <v>1</v>
      </c>
      <c r="CA4" s="208">
        <f>+$BG4*$BG$1</f>
        <v>8930</v>
      </c>
      <c r="CB4" s="248"/>
      <c r="CC4" s="211"/>
      <c r="CD4" s="74">
        <v>1</v>
      </c>
      <c r="CE4" s="194">
        <f>+$BG4*$BG$1</f>
        <v>8930</v>
      </c>
      <c r="CF4" s="64">
        <f>+BH4+BJ4+BL4+BN4+BP4+BR4+BT4+BV4+BX4+BZ4+CB4*4+CD4</f>
        <v>5</v>
      </c>
      <c r="CG4" s="181">
        <f>+BI4+BK4+BM4+BO4+BQ4+BS4+BU4+BW4+BY4+CA4+CC4*4+CE4</f>
        <v>44650</v>
      </c>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row>
    <row r="5" spans="1:253" s="3" customFormat="1" x14ac:dyDescent="0.25">
      <c r="A5" s="3">
        <v>3</v>
      </c>
      <c r="B5" s="198" t="s">
        <v>7</v>
      </c>
      <c r="C5" s="10" t="s">
        <v>24</v>
      </c>
      <c r="D5" s="4"/>
      <c r="E5" s="23"/>
      <c r="F5" s="6"/>
      <c r="G5" s="6"/>
      <c r="H5" s="6"/>
      <c r="I5" s="6"/>
      <c r="J5" s="6"/>
      <c r="K5" s="6"/>
      <c r="L5" s="6"/>
      <c r="M5" s="6"/>
      <c r="N5" s="6"/>
      <c r="O5" s="6"/>
      <c r="P5" s="6"/>
      <c r="Q5" s="30">
        <v>1000</v>
      </c>
      <c r="R5" s="33">
        <v>1000</v>
      </c>
      <c r="S5" s="14">
        <v>1</v>
      </c>
      <c r="T5" s="14">
        <v>1</v>
      </c>
      <c r="U5" s="14">
        <v>1</v>
      </c>
      <c r="V5" s="14">
        <v>1</v>
      </c>
      <c r="W5" s="10">
        <v>1</v>
      </c>
      <c r="X5" s="10">
        <v>1</v>
      </c>
      <c r="Y5" s="10">
        <v>1</v>
      </c>
      <c r="Z5" s="10">
        <v>1</v>
      </c>
      <c r="AA5" s="14">
        <v>1</v>
      </c>
      <c r="AB5" s="14">
        <v>1</v>
      </c>
      <c r="AC5" s="14">
        <v>1</v>
      </c>
      <c r="AD5" s="14">
        <v>1</v>
      </c>
      <c r="AE5" s="10">
        <v>1</v>
      </c>
      <c r="AF5" s="10">
        <v>1</v>
      </c>
      <c r="AG5" s="10">
        <v>1</v>
      </c>
      <c r="AH5" s="10">
        <v>1</v>
      </c>
      <c r="AI5" s="14">
        <v>1</v>
      </c>
      <c r="AJ5" s="14">
        <v>1</v>
      </c>
      <c r="AK5" s="14">
        <v>1</v>
      </c>
      <c r="AL5" s="14">
        <v>1</v>
      </c>
      <c r="AM5" s="10">
        <v>1</v>
      </c>
      <c r="AN5" s="10">
        <v>1</v>
      </c>
      <c r="AO5" s="10">
        <v>1</v>
      </c>
      <c r="AP5" s="10">
        <v>1</v>
      </c>
      <c r="AQ5" s="14">
        <v>1</v>
      </c>
      <c r="AR5" s="14">
        <v>1</v>
      </c>
      <c r="AS5" s="14">
        <v>1</v>
      </c>
      <c r="AT5" s="14">
        <v>1</v>
      </c>
      <c r="AU5" s="10">
        <v>1</v>
      </c>
      <c r="AV5" s="10">
        <v>1</v>
      </c>
      <c r="AW5" s="10">
        <v>1</v>
      </c>
      <c r="AX5" s="10">
        <v>1</v>
      </c>
      <c r="AY5" s="14">
        <v>1</v>
      </c>
      <c r="AZ5" s="14">
        <v>1</v>
      </c>
      <c r="BA5" s="14">
        <v>1</v>
      </c>
      <c r="BB5" s="14">
        <v>1</v>
      </c>
      <c r="BC5" s="10">
        <v>1</v>
      </c>
      <c r="BD5" s="10">
        <v>1</v>
      </c>
      <c r="BE5" s="22">
        <v>38</v>
      </c>
      <c r="BF5" s="188" t="s">
        <v>210</v>
      </c>
      <c r="BG5" s="194">
        <v>100</v>
      </c>
      <c r="BH5" s="74">
        <v>4</v>
      </c>
      <c r="BI5" s="194">
        <f>+BG5*$BG$1</f>
        <v>4700</v>
      </c>
      <c r="BJ5" s="74">
        <v>4</v>
      </c>
      <c r="BK5" s="208">
        <f>+$BG$5*$BG$1</f>
        <v>4700</v>
      </c>
      <c r="BL5" s="74">
        <v>4</v>
      </c>
      <c r="BM5" s="208">
        <f>+$BG$5*$BG$1</f>
        <v>4700</v>
      </c>
      <c r="BN5" s="74">
        <v>4</v>
      </c>
      <c r="BO5" s="208">
        <f>+$BG$5*$BG$1</f>
        <v>4700</v>
      </c>
      <c r="BP5" s="74">
        <v>4</v>
      </c>
      <c r="BQ5" s="208">
        <f>+$BG$5*$BG$1</f>
        <v>4700</v>
      </c>
      <c r="BR5" s="74">
        <v>4</v>
      </c>
      <c r="BS5" s="208">
        <f>+$BG$5*$BG$1</f>
        <v>4700</v>
      </c>
      <c r="BT5" s="74">
        <v>4</v>
      </c>
      <c r="BU5" s="208">
        <f>+$BG$5*$BG$1</f>
        <v>4700</v>
      </c>
      <c r="BV5" s="74">
        <v>4</v>
      </c>
      <c r="BW5" s="208">
        <f>+$BG$5*$BG$1</f>
        <v>4700</v>
      </c>
      <c r="BX5" s="74">
        <v>4</v>
      </c>
      <c r="BY5" s="208">
        <f>+$BG$5*$BG$1</f>
        <v>4700</v>
      </c>
      <c r="BZ5" s="74">
        <v>4</v>
      </c>
      <c r="CA5" s="208">
        <f>+$BG$5*$BG$1</f>
        <v>4700</v>
      </c>
      <c r="CB5" s="74"/>
      <c r="CC5" s="234"/>
      <c r="CD5" s="74"/>
      <c r="CE5" s="255"/>
      <c r="CF5" s="64">
        <f>+BH5+BJ5+BL5+BN5+BP5+BR5+BT5+BV5+BX5+BZ5+CB5*4+CD5</f>
        <v>40</v>
      </c>
      <c r="CG5" s="181">
        <f t="shared" ref="CG5:CG47" si="0">+BI5+BK5+BM5+BO5+BQ5+BS5+BU5+BW5+BY5+CA5+CC5*4+CE5</f>
        <v>47000</v>
      </c>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row>
    <row r="6" spans="1:253" s="3" customFormat="1" x14ac:dyDescent="0.25">
      <c r="A6" s="3">
        <v>4</v>
      </c>
      <c r="B6" s="377" t="s">
        <v>192</v>
      </c>
      <c r="C6" s="378" t="s">
        <v>23</v>
      </c>
      <c r="D6" s="24"/>
      <c r="E6" s="24"/>
      <c r="F6" s="24"/>
      <c r="G6" s="23"/>
      <c r="H6" s="6"/>
      <c r="I6" s="6"/>
      <c r="J6" s="6"/>
      <c r="K6" s="6"/>
      <c r="L6" s="6"/>
      <c r="M6" s="6"/>
      <c r="N6" s="6"/>
      <c r="O6" s="6"/>
      <c r="P6" s="6"/>
      <c r="Q6" s="181">
        <v>200</v>
      </c>
      <c r="R6" s="181">
        <v>350</v>
      </c>
      <c r="S6" s="14">
        <v>10</v>
      </c>
      <c r="T6" s="14">
        <v>10</v>
      </c>
      <c r="U6" s="15">
        <v>10</v>
      </c>
      <c r="V6" s="14"/>
      <c r="W6" s="10"/>
      <c r="X6" s="10"/>
      <c r="Y6" s="10"/>
      <c r="Z6" s="10"/>
      <c r="AA6" s="14"/>
      <c r="AB6" s="14"/>
      <c r="AC6" s="14"/>
      <c r="AD6" s="14"/>
      <c r="AE6" s="10"/>
      <c r="AF6" s="10"/>
      <c r="AG6" s="10"/>
      <c r="AH6" s="10"/>
      <c r="AI6" s="14"/>
      <c r="AJ6" s="14"/>
      <c r="AK6" s="14"/>
      <c r="AL6" s="14"/>
      <c r="AM6" s="10"/>
      <c r="AN6" s="10"/>
      <c r="AO6" s="10"/>
      <c r="AP6" s="10"/>
      <c r="AQ6" s="14"/>
      <c r="AR6" s="14"/>
      <c r="AS6" s="14"/>
      <c r="AT6" s="14"/>
      <c r="AU6" s="10"/>
      <c r="AV6" s="10"/>
      <c r="AW6" s="10"/>
      <c r="AX6" s="10"/>
      <c r="AY6" s="14"/>
      <c r="AZ6" s="14"/>
      <c r="BA6" s="14"/>
      <c r="BB6" s="14"/>
      <c r="BC6" s="10"/>
      <c r="BD6" s="10"/>
      <c r="BE6" s="22">
        <v>30</v>
      </c>
      <c r="BF6" s="189" t="s">
        <v>86</v>
      </c>
      <c r="BG6" s="249">
        <f>+R6</f>
        <v>350</v>
      </c>
      <c r="BH6" s="74">
        <f>+BE6</f>
        <v>30</v>
      </c>
      <c r="BI6" s="225">
        <f>+R6*BH6</f>
        <v>10500</v>
      </c>
      <c r="BJ6" s="229"/>
      <c r="BK6" s="230"/>
      <c r="BL6" s="229"/>
      <c r="BM6" s="230"/>
      <c r="BN6" s="229"/>
      <c r="BO6" s="230"/>
      <c r="BP6" s="229"/>
      <c r="BQ6" s="230"/>
      <c r="BR6" s="229"/>
      <c r="BS6" s="230"/>
      <c r="BT6" s="229"/>
      <c r="BU6" s="230"/>
      <c r="BV6" s="229"/>
      <c r="BW6" s="230"/>
      <c r="BX6" s="229"/>
      <c r="BY6" s="230"/>
      <c r="BZ6" s="229"/>
      <c r="CA6" s="230"/>
      <c r="CB6" s="229"/>
      <c r="CC6" s="230"/>
      <c r="CD6" s="229"/>
      <c r="CE6" s="228"/>
      <c r="CF6" s="64">
        <f>+BH6+BJ6+BL6+BN6+BP6+BR6+BT6+BV6+BX6+BZ6+CB6*4+CD6</f>
        <v>30</v>
      </c>
      <c r="CG6" s="181">
        <f t="shared" si="0"/>
        <v>10500</v>
      </c>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row>
    <row r="7" spans="1:253" x14ac:dyDescent="0.25">
      <c r="B7" s="377"/>
      <c r="C7" s="378"/>
      <c r="D7" s="175"/>
      <c r="E7" s="175"/>
      <c r="F7" s="175"/>
      <c r="G7" s="175"/>
      <c r="H7" s="175"/>
      <c r="I7" s="175"/>
      <c r="J7" s="175"/>
      <c r="K7" s="175"/>
      <c r="L7" s="175"/>
      <c r="M7" s="175"/>
      <c r="N7" s="175"/>
      <c r="O7" s="175"/>
      <c r="P7" s="175"/>
      <c r="Q7" s="30">
        <v>950</v>
      </c>
      <c r="R7" s="33">
        <v>950</v>
      </c>
      <c r="S7" s="175"/>
      <c r="T7" s="175"/>
      <c r="U7" s="175"/>
      <c r="V7" s="175"/>
      <c r="W7" s="175"/>
      <c r="X7" s="175"/>
      <c r="Y7" s="175"/>
      <c r="Z7" s="175"/>
      <c r="AA7" s="175"/>
      <c r="AB7" s="175"/>
      <c r="AC7" s="175"/>
      <c r="AD7" s="175"/>
      <c r="AE7" s="175"/>
      <c r="AF7" s="175"/>
      <c r="AG7" s="175"/>
      <c r="AH7" s="175"/>
      <c r="AI7" s="175"/>
      <c r="AJ7" s="175"/>
      <c r="AK7" s="175"/>
      <c r="AL7" s="175"/>
      <c r="AM7" s="175"/>
      <c r="AN7" s="175"/>
      <c r="AO7" s="175"/>
      <c r="AP7" s="175"/>
      <c r="AQ7" s="175"/>
      <c r="AR7" s="175"/>
      <c r="AS7" s="175"/>
      <c r="AT7" s="175"/>
      <c r="AU7" s="175"/>
      <c r="AV7" s="175"/>
      <c r="AW7" s="175"/>
      <c r="AX7" s="175"/>
      <c r="AY7" s="175"/>
      <c r="AZ7" s="175"/>
      <c r="BA7" s="175"/>
      <c r="BB7" s="175"/>
      <c r="BC7" s="175"/>
      <c r="BD7" s="175"/>
      <c r="BE7" s="62"/>
      <c r="BF7" s="190" t="s">
        <v>211</v>
      </c>
      <c r="BG7" s="194">
        <f>+R7</f>
        <v>950</v>
      </c>
      <c r="BH7" s="125"/>
      <c r="BI7" s="226">
        <f>+BG7*$BG$1</f>
        <v>44650</v>
      </c>
      <c r="BJ7" s="231"/>
      <c r="BK7" s="230"/>
      <c r="BL7" s="231"/>
      <c r="BM7" s="230"/>
      <c r="BN7" s="231"/>
      <c r="BO7" s="230"/>
      <c r="BP7" s="231"/>
      <c r="BQ7" s="230"/>
      <c r="BR7" s="231"/>
      <c r="BS7" s="230"/>
      <c r="BT7" s="231"/>
      <c r="BU7" s="230"/>
      <c r="BV7" s="231"/>
      <c r="BW7" s="230"/>
      <c r="BX7" s="231"/>
      <c r="BY7" s="230"/>
      <c r="BZ7" s="231"/>
      <c r="CA7" s="230"/>
      <c r="CB7" s="231"/>
      <c r="CC7" s="230"/>
      <c r="CD7" s="231"/>
      <c r="CE7" s="228"/>
      <c r="CF7" s="63"/>
      <c r="CG7" s="181">
        <f t="shared" si="0"/>
        <v>44650</v>
      </c>
    </row>
    <row r="8" spans="1:253" s="3" customFormat="1" x14ac:dyDescent="0.25">
      <c r="A8" s="3">
        <v>5</v>
      </c>
      <c r="B8" s="379" t="s">
        <v>193</v>
      </c>
      <c r="C8" s="378" t="s">
        <v>2</v>
      </c>
      <c r="D8" s="6"/>
      <c r="E8" s="6"/>
      <c r="F8" s="6"/>
      <c r="G8" s="23"/>
      <c r="H8" s="23"/>
      <c r="I8" s="6"/>
      <c r="J8" s="6"/>
      <c r="K8" s="6"/>
      <c r="L8" s="6"/>
      <c r="M8" s="6"/>
      <c r="N8" s="6"/>
      <c r="O8" s="6"/>
      <c r="P8" s="6"/>
      <c r="Q8" s="181">
        <v>250</v>
      </c>
      <c r="R8" s="181">
        <v>350</v>
      </c>
      <c r="S8" s="14">
        <v>10</v>
      </c>
      <c r="T8" s="15">
        <v>10</v>
      </c>
      <c r="U8" s="14"/>
      <c r="V8" s="14"/>
      <c r="W8" s="10"/>
      <c r="X8" s="10"/>
      <c r="Y8" s="10"/>
      <c r="Z8" s="10"/>
      <c r="AA8" s="14"/>
      <c r="AB8" s="14"/>
      <c r="AC8" s="14"/>
      <c r="AD8" s="14"/>
      <c r="AE8" s="10"/>
      <c r="AF8" s="10"/>
      <c r="AG8" s="10"/>
      <c r="AH8" s="10"/>
      <c r="AI8" s="14"/>
      <c r="AJ8" s="14"/>
      <c r="AK8" s="14"/>
      <c r="AL8" s="14"/>
      <c r="AM8" s="10"/>
      <c r="AN8" s="10"/>
      <c r="AO8" s="10"/>
      <c r="AP8" s="10"/>
      <c r="AQ8" s="14"/>
      <c r="AR8" s="14"/>
      <c r="AS8" s="14"/>
      <c r="AT8" s="14"/>
      <c r="AU8" s="10"/>
      <c r="AV8" s="10"/>
      <c r="AW8" s="10"/>
      <c r="AX8" s="10"/>
      <c r="AY8" s="14"/>
      <c r="AZ8" s="14"/>
      <c r="BA8" s="14"/>
      <c r="BB8" s="14"/>
      <c r="BC8" s="10"/>
      <c r="BD8" s="10"/>
      <c r="BE8" s="22">
        <v>20</v>
      </c>
      <c r="BF8" s="191" t="s">
        <v>86</v>
      </c>
      <c r="BG8" s="249">
        <f>+R8</f>
        <v>350</v>
      </c>
      <c r="BH8" s="74">
        <f>+BE8</f>
        <v>20</v>
      </c>
      <c r="BI8" s="225">
        <f>+R8*BH8</f>
        <v>7000</v>
      </c>
      <c r="BJ8" s="229"/>
      <c r="BK8" s="230"/>
      <c r="BL8" s="229"/>
      <c r="BM8" s="230"/>
      <c r="BN8" s="229"/>
      <c r="BO8" s="230"/>
      <c r="BP8" s="229"/>
      <c r="BQ8" s="230"/>
      <c r="BR8" s="229"/>
      <c r="BS8" s="230"/>
      <c r="BT8" s="229"/>
      <c r="BU8" s="230"/>
      <c r="BV8" s="229"/>
      <c r="BW8" s="230"/>
      <c r="BX8" s="229"/>
      <c r="BY8" s="230"/>
      <c r="BZ8" s="229"/>
      <c r="CA8" s="230"/>
      <c r="CB8" s="229"/>
      <c r="CC8" s="230"/>
      <c r="CD8" s="229"/>
      <c r="CE8" s="228"/>
      <c r="CF8" s="64">
        <f>+BH8+BJ8+BL8+BN8+BP8+BR8+BT8+BV8+BX8+BZ8+CB8*4+CD8</f>
        <v>20</v>
      </c>
      <c r="CG8" s="181">
        <f t="shared" si="0"/>
        <v>7000</v>
      </c>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row>
    <row r="9" spans="1:253" s="3" customFormat="1" x14ac:dyDescent="0.25">
      <c r="B9" s="379"/>
      <c r="C9" s="378"/>
      <c r="D9" s="4"/>
      <c r="E9" s="4"/>
      <c r="F9" s="4"/>
      <c r="G9" s="4"/>
      <c r="H9" s="4"/>
      <c r="I9" s="4"/>
      <c r="J9" s="4"/>
      <c r="K9" s="4"/>
      <c r="L9" s="4"/>
      <c r="M9" s="4"/>
      <c r="N9" s="4"/>
      <c r="O9" s="4"/>
      <c r="P9" s="4"/>
      <c r="Q9" s="30">
        <v>0</v>
      </c>
      <c r="R9" s="30">
        <v>0</v>
      </c>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62"/>
      <c r="BF9" s="190" t="s">
        <v>214</v>
      </c>
      <c r="BG9" s="194">
        <v>0</v>
      </c>
      <c r="BH9" s="125"/>
      <c r="BI9" s="226">
        <f>+BG9*$BG$1</f>
        <v>0</v>
      </c>
      <c r="BJ9" s="231"/>
      <c r="BK9" s="232"/>
      <c r="BL9" s="229"/>
      <c r="BM9" s="230"/>
      <c r="BN9" s="229"/>
      <c r="BO9" s="230"/>
      <c r="BP9" s="229"/>
      <c r="BQ9" s="230"/>
      <c r="BR9" s="229"/>
      <c r="BS9" s="230"/>
      <c r="BT9" s="229"/>
      <c r="BU9" s="230"/>
      <c r="BV9" s="229"/>
      <c r="BW9" s="230"/>
      <c r="BX9" s="229"/>
      <c r="BY9" s="230"/>
      <c r="BZ9" s="229"/>
      <c r="CA9" s="230"/>
      <c r="CB9" s="229"/>
      <c r="CC9" s="230"/>
      <c r="CD9" s="229"/>
      <c r="CE9" s="228"/>
      <c r="CF9" s="63"/>
      <c r="CG9" s="181">
        <f t="shared" si="0"/>
        <v>0</v>
      </c>
    </row>
    <row r="10" spans="1:253" s="3" customFormat="1" x14ac:dyDescent="0.25">
      <c r="B10" s="379"/>
      <c r="C10" s="378"/>
      <c r="D10" s="4"/>
      <c r="E10" s="4"/>
      <c r="F10" s="4"/>
      <c r="G10" s="4"/>
      <c r="H10" s="4"/>
      <c r="I10" s="4"/>
      <c r="J10" s="4"/>
      <c r="K10" s="4"/>
      <c r="L10" s="4"/>
      <c r="M10" s="4"/>
      <c r="N10" s="4"/>
      <c r="O10" s="4"/>
      <c r="P10" s="4"/>
      <c r="Q10" s="30">
        <v>580</v>
      </c>
      <c r="R10" s="33">
        <v>580</v>
      </c>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62"/>
      <c r="BF10" s="190" t="s">
        <v>215</v>
      </c>
      <c r="BG10" s="194">
        <v>580</v>
      </c>
      <c r="BH10" s="125"/>
      <c r="BI10" s="226">
        <f>+BG10*$BG$1</f>
        <v>27260</v>
      </c>
      <c r="BJ10" s="231"/>
      <c r="BK10" s="230"/>
      <c r="BL10" s="229"/>
      <c r="BM10" s="230"/>
      <c r="BN10" s="229"/>
      <c r="BO10" s="230"/>
      <c r="BP10" s="229"/>
      <c r="BQ10" s="230"/>
      <c r="BR10" s="229"/>
      <c r="BS10" s="230"/>
      <c r="BT10" s="229"/>
      <c r="BU10" s="230"/>
      <c r="BV10" s="229"/>
      <c r="BW10" s="230"/>
      <c r="BX10" s="229"/>
      <c r="BY10" s="230"/>
      <c r="BZ10" s="229"/>
      <c r="CA10" s="230"/>
      <c r="CB10" s="229"/>
      <c r="CC10" s="230"/>
      <c r="CD10" s="229"/>
      <c r="CE10" s="228"/>
      <c r="CF10" s="63"/>
      <c r="CG10" s="181">
        <f t="shared" si="0"/>
        <v>27260</v>
      </c>
    </row>
    <row r="11" spans="1:253" s="3" customFormat="1" x14ac:dyDescent="0.25">
      <c r="A11" s="3">
        <v>5</v>
      </c>
      <c r="B11" s="379" t="s">
        <v>103</v>
      </c>
      <c r="C11" s="378" t="s">
        <v>104</v>
      </c>
      <c r="D11" s="6"/>
      <c r="E11" s="6"/>
      <c r="F11" s="6"/>
      <c r="G11" s="23"/>
      <c r="H11" s="23"/>
      <c r="I11" s="6"/>
      <c r="J11" s="6"/>
      <c r="K11" s="6"/>
      <c r="L11" s="6"/>
      <c r="M11" s="6"/>
      <c r="N11" s="6"/>
      <c r="O11" s="6"/>
      <c r="P11" s="6"/>
      <c r="Q11" s="181">
        <v>250</v>
      </c>
      <c r="R11" s="181">
        <v>350</v>
      </c>
      <c r="S11" s="14">
        <v>10</v>
      </c>
      <c r="T11" s="15">
        <v>10</v>
      </c>
      <c r="U11" s="14"/>
      <c r="V11" s="14"/>
      <c r="W11" s="10"/>
      <c r="X11" s="10"/>
      <c r="Y11" s="10"/>
      <c r="Z11" s="10"/>
      <c r="AA11" s="14"/>
      <c r="AB11" s="14"/>
      <c r="AC11" s="14"/>
      <c r="AD11" s="14"/>
      <c r="AE11" s="10"/>
      <c r="AF11" s="10"/>
      <c r="AG11" s="10"/>
      <c r="AH11" s="10"/>
      <c r="AI11" s="14"/>
      <c r="AJ11" s="14"/>
      <c r="AK11" s="14"/>
      <c r="AL11" s="14"/>
      <c r="AM11" s="10"/>
      <c r="AN11" s="10"/>
      <c r="AO11" s="10"/>
      <c r="AP11" s="10"/>
      <c r="AQ11" s="14"/>
      <c r="AR11" s="14"/>
      <c r="AS11" s="14"/>
      <c r="AT11" s="14"/>
      <c r="AU11" s="10"/>
      <c r="AV11" s="10"/>
      <c r="AW11" s="10"/>
      <c r="AX11" s="10"/>
      <c r="AY11" s="14"/>
      <c r="AZ11" s="14"/>
      <c r="BA11" s="14"/>
      <c r="BB11" s="14"/>
      <c r="BC11" s="10"/>
      <c r="BD11" s="10"/>
      <c r="BE11" s="22">
        <v>20</v>
      </c>
      <c r="BF11" s="189" t="s">
        <v>86</v>
      </c>
      <c r="BG11" s="249">
        <f t="shared" ref="BG11:BG25" si="1">+R11</f>
        <v>350</v>
      </c>
      <c r="BH11" s="74">
        <f>+BE11</f>
        <v>20</v>
      </c>
      <c r="BI11" s="225">
        <f>+R11*BH11</f>
        <v>7000</v>
      </c>
      <c r="BJ11" s="229"/>
      <c r="BK11" s="230"/>
      <c r="BL11" s="229"/>
      <c r="BM11" s="230"/>
      <c r="BN11" s="229"/>
      <c r="BO11" s="230"/>
      <c r="BP11" s="229"/>
      <c r="BQ11" s="230"/>
      <c r="BR11" s="229"/>
      <c r="BS11" s="230"/>
      <c r="BT11" s="229"/>
      <c r="BU11" s="230"/>
      <c r="BV11" s="229"/>
      <c r="BW11" s="230"/>
      <c r="BX11" s="229"/>
      <c r="BY11" s="230"/>
      <c r="BZ11" s="229"/>
      <c r="CA11" s="230"/>
      <c r="CB11" s="229"/>
      <c r="CC11" s="230"/>
      <c r="CD11" s="229"/>
      <c r="CE11" s="228"/>
      <c r="CF11" s="64">
        <f>+BH11+BJ11+BL11+BN11+BP11+BR11+BT11+BV11+BX11+BZ11+CB11*4+CD11</f>
        <v>20</v>
      </c>
      <c r="CG11" s="181">
        <f t="shared" si="0"/>
        <v>7000</v>
      </c>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row>
    <row r="12" spans="1:253" s="3" customFormat="1" x14ac:dyDescent="0.25">
      <c r="B12" s="379"/>
      <c r="C12" s="378"/>
      <c r="D12" s="4"/>
      <c r="E12" s="4"/>
      <c r="F12" s="4"/>
      <c r="G12" s="4"/>
      <c r="H12" s="4"/>
      <c r="I12" s="4"/>
      <c r="J12" s="4"/>
      <c r="K12" s="4"/>
      <c r="L12" s="4"/>
      <c r="M12" s="4"/>
      <c r="N12" s="4"/>
      <c r="O12" s="4"/>
      <c r="P12" s="4"/>
      <c r="Q12" s="30">
        <v>1500</v>
      </c>
      <c r="R12" s="33">
        <v>1500</v>
      </c>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62"/>
      <c r="BF12" s="190" t="s">
        <v>211</v>
      </c>
      <c r="BG12" s="194">
        <f t="shared" si="1"/>
        <v>1500</v>
      </c>
      <c r="BH12" s="125"/>
      <c r="BI12" s="226">
        <f>+BG12*$BG$1</f>
        <v>70500</v>
      </c>
      <c r="BJ12" s="231"/>
      <c r="BK12" s="232"/>
      <c r="BL12" s="229"/>
      <c r="BM12" s="230"/>
      <c r="BN12" s="229"/>
      <c r="BO12" s="230"/>
      <c r="BP12" s="229"/>
      <c r="BQ12" s="230"/>
      <c r="BR12" s="229"/>
      <c r="BS12" s="230"/>
      <c r="BT12" s="229"/>
      <c r="BU12" s="230"/>
      <c r="BV12" s="229"/>
      <c r="BW12" s="230"/>
      <c r="BX12" s="229"/>
      <c r="BY12" s="230"/>
      <c r="BZ12" s="229"/>
      <c r="CA12" s="230"/>
      <c r="CB12" s="229"/>
      <c r="CC12" s="230"/>
      <c r="CD12" s="229"/>
      <c r="CE12" s="228"/>
      <c r="CF12" s="63"/>
      <c r="CG12" s="181">
        <f t="shared" si="0"/>
        <v>70500</v>
      </c>
    </row>
    <row r="13" spans="1:253" s="3" customFormat="1" x14ac:dyDescent="0.25">
      <c r="A13" s="3">
        <v>6</v>
      </c>
      <c r="B13" s="380" t="s">
        <v>3</v>
      </c>
      <c r="C13" s="378" t="s">
        <v>2</v>
      </c>
      <c r="D13" s="6"/>
      <c r="E13" s="6"/>
      <c r="F13" s="23"/>
      <c r="G13" s="6"/>
      <c r="H13" s="6"/>
      <c r="I13" s="6"/>
      <c r="J13" s="6"/>
      <c r="K13" s="6"/>
      <c r="L13" s="6"/>
      <c r="M13" s="6"/>
      <c r="N13" s="6"/>
      <c r="O13" s="6"/>
      <c r="P13" s="6"/>
      <c r="Q13" s="181">
        <v>200</v>
      </c>
      <c r="R13" s="181">
        <v>350</v>
      </c>
      <c r="S13" s="14"/>
      <c r="T13" s="14"/>
      <c r="U13" s="15">
        <v>10</v>
      </c>
      <c r="V13" s="14"/>
      <c r="W13" s="10"/>
      <c r="X13" s="10"/>
      <c r="Y13" s="10"/>
      <c r="Z13" s="10"/>
      <c r="AA13" s="14"/>
      <c r="AB13" s="14"/>
      <c r="AC13" s="14"/>
      <c r="AD13" s="14"/>
      <c r="AE13" s="10"/>
      <c r="AF13" s="10"/>
      <c r="AG13" s="10"/>
      <c r="AH13" s="10"/>
      <c r="AI13" s="14"/>
      <c r="AJ13" s="14"/>
      <c r="AK13" s="14"/>
      <c r="AL13" s="14"/>
      <c r="AM13" s="10"/>
      <c r="AN13" s="10"/>
      <c r="AO13" s="10"/>
      <c r="AP13" s="10"/>
      <c r="AQ13" s="14"/>
      <c r="AR13" s="14"/>
      <c r="AS13" s="14"/>
      <c r="AT13" s="14"/>
      <c r="AU13" s="10"/>
      <c r="AV13" s="10"/>
      <c r="AW13" s="10"/>
      <c r="AX13" s="10"/>
      <c r="AY13" s="14"/>
      <c r="AZ13" s="14"/>
      <c r="BA13" s="14"/>
      <c r="BB13" s="14"/>
      <c r="BC13" s="10"/>
      <c r="BD13" s="10"/>
      <c r="BE13" s="22">
        <v>10</v>
      </c>
      <c r="BF13" s="189" t="s">
        <v>86</v>
      </c>
      <c r="BG13" s="249">
        <f t="shared" si="1"/>
        <v>350</v>
      </c>
      <c r="BH13" s="74">
        <f>+BE13</f>
        <v>10</v>
      </c>
      <c r="BI13" s="225">
        <f>+R13*BH13</f>
        <v>3500</v>
      </c>
      <c r="BJ13" s="229"/>
      <c r="BK13" s="230"/>
      <c r="BL13" s="229"/>
      <c r="BM13" s="230"/>
      <c r="BN13" s="229"/>
      <c r="BO13" s="230"/>
      <c r="BP13" s="229"/>
      <c r="BQ13" s="230"/>
      <c r="BR13" s="229"/>
      <c r="BS13" s="230"/>
      <c r="BT13" s="229"/>
      <c r="BU13" s="230"/>
      <c r="BV13" s="229"/>
      <c r="BW13" s="230"/>
      <c r="BX13" s="229"/>
      <c r="BY13" s="230"/>
      <c r="BZ13" s="229"/>
      <c r="CA13" s="230"/>
      <c r="CB13" s="229"/>
      <c r="CC13" s="230"/>
      <c r="CD13" s="229"/>
      <c r="CE13" s="228"/>
      <c r="CF13" s="64">
        <f>+BH13+BJ13+BL13+BN13+BP13+BR13+BT13+BV13+BX13+BZ13+CB13*4+CD13</f>
        <v>10</v>
      </c>
      <c r="CG13" s="181">
        <f t="shared" si="0"/>
        <v>3500</v>
      </c>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c r="IR13" s="9"/>
      <c r="IS13" s="9"/>
    </row>
    <row r="14" spans="1:253" s="3" customFormat="1" x14ac:dyDescent="0.25">
      <c r="B14" s="380"/>
      <c r="C14" s="378"/>
      <c r="D14" s="4"/>
      <c r="E14" s="4"/>
      <c r="F14" s="4"/>
      <c r="G14" s="4"/>
      <c r="H14" s="4"/>
      <c r="I14" s="4"/>
      <c r="J14" s="4"/>
      <c r="K14" s="4"/>
      <c r="L14" s="4"/>
      <c r="M14" s="4"/>
      <c r="N14" s="4"/>
      <c r="O14" s="4"/>
      <c r="P14" s="4"/>
      <c r="Q14" s="30">
        <v>0</v>
      </c>
      <c r="R14" s="30">
        <v>0</v>
      </c>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62"/>
      <c r="BF14" s="190" t="s">
        <v>211</v>
      </c>
      <c r="BG14" s="194">
        <f t="shared" si="1"/>
        <v>0</v>
      </c>
      <c r="BH14" s="125"/>
      <c r="BI14" s="226">
        <f>+BG14*$BG$1</f>
        <v>0</v>
      </c>
      <c r="BJ14" s="231"/>
      <c r="BK14" s="232"/>
      <c r="BL14" s="229"/>
      <c r="BM14" s="230"/>
      <c r="BN14" s="229"/>
      <c r="BO14" s="230"/>
      <c r="BP14" s="229"/>
      <c r="BQ14" s="230"/>
      <c r="BR14" s="229"/>
      <c r="BS14" s="230"/>
      <c r="BT14" s="229"/>
      <c r="BU14" s="230"/>
      <c r="BV14" s="229"/>
      <c r="BW14" s="230"/>
      <c r="BX14" s="229"/>
      <c r="BY14" s="230"/>
      <c r="BZ14" s="229"/>
      <c r="CA14" s="230"/>
      <c r="CB14" s="229"/>
      <c r="CC14" s="230"/>
      <c r="CD14" s="229"/>
      <c r="CE14" s="228"/>
      <c r="CF14" s="63"/>
      <c r="CG14" s="181">
        <f t="shared" si="0"/>
        <v>0</v>
      </c>
    </row>
    <row r="15" spans="1:253" s="3" customFormat="1" x14ac:dyDescent="0.25">
      <c r="A15" s="3">
        <v>7</v>
      </c>
      <c r="B15" s="381" t="s">
        <v>194</v>
      </c>
      <c r="C15" s="378" t="s">
        <v>2</v>
      </c>
      <c r="D15" s="6"/>
      <c r="E15" s="6"/>
      <c r="F15" s="6"/>
      <c r="G15" s="23"/>
      <c r="H15" s="23"/>
      <c r="I15" s="6"/>
      <c r="J15" s="6"/>
      <c r="K15" s="6"/>
      <c r="L15" s="6"/>
      <c r="M15" s="6"/>
      <c r="N15" s="6"/>
      <c r="O15" s="6"/>
      <c r="P15" s="6"/>
      <c r="Q15" s="181">
        <v>250</v>
      </c>
      <c r="R15" s="181">
        <v>350</v>
      </c>
      <c r="S15" s="14"/>
      <c r="T15" s="14"/>
      <c r="U15" s="14"/>
      <c r="V15" s="14">
        <v>4</v>
      </c>
      <c r="W15" s="14">
        <v>4</v>
      </c>
      <c r="X15" s="15">
        <v>2</v>
      </c>
      <c r="Y15" s="10"/>
      <c r="Z15" s="10"/>
      <c r="AA15" s="14"/>
      <c r="AB15" s="14"/>
      <c r="AC15" s="14"/>
      <c r="AD15" s="14"/>
      <c r="AE15" s="10"/>
      <c r="AF15" s="10"/>
      <c r="AG15" s="10"/>
      <c r="AH15" s="10"/>
      <c r="AI15" s="14"/>
      <c r="AJ15" s="14"/>
      <c r="AK15" s="14"/>
      <c r="AL15" s="14"/>
      <c r="AM15" s="10"/>
      <c r="AN15" s="10"/>
      <c r="AO15" s="10"/>
      <c r="AP15" s="10"/>
      <c r="AQ15" s="14"/>
      <c r="AR15" s="14"/>
      <c r="AS15" s="14"/>
      <c r="AT15" s="14"/>
      <c r="AU15" s="10"/>
      <c r="AV15" s="10"/>
      <c r="AW15" s="10"/>
      <c r="AX15" s="10"/>
      <c r="AY15" s="14"/>
      <c r="AZ15" s="14"/>
      <c r="BA15" s="14"/>
      <c r="BB15" s="14"/>
      <c r="BC15" s="10"/>
      <c r="BD15" s="10"/>
      <c r="BE15" s="22">
        <v>10</v>
      </c>
      <c r="BF15" s="189" t="s">
        <v>86</v>
      </c>
      <c r="BG15" s="249">
        <f t="shared" si="1"/>
        <v>350</v>
      </c>
      <c r="BH15" s="74">
        <v>4</v>
      </c>
      <c r="BI15" s="194">
        <f>+R15*BH15</f>
        <v>1400</v>
      </c>
      <c r="BJ15" s="74">
        <v>6</v>
      </c>
      <c r="BK15" s="209">
        <f>+R15*BJ15</f>
        <v>2100</v>
      </c>
      <c r="BL15" s="229"/>
      <c r="BM15" s="230"/>
      <c r="BN15" s="229"/>
      <c r="BO15" s="230"/>
      <c r="BP15" s="229"/>
      <c r="BQ15" s="230"/>
      <c r="BR15" s="229"/>
      <c r="BS15" s="230"/>
      <c r="BT15" s="229"/>
      <c r="BU15" s="230"/>
      <c r="BV15" s="229"/>
      <c r="BW15" s="230"/>
      <c r="BX15" s="229"/>
      <c r="BY15" s="230"/>
      <c r="BZ15" s="229"/>
      <c r="CA15" s="230"/>
      <c r="CB15" s="229"/>
      <c r="CC15" s="230"/>
      <c r="CD15" s="229"/>
      <c r="CE15" s="228"/>
      <c r="CF15" s="64">
        <f>+BH15+BJ15+BL15+BN15+BP15+BR15+BT15+BV15+BX15+BZ15+CB15*4+CD15</f>
        <v>10</v>
      </c>
      <c r="CG15" s="181">
        <f t="shared" si="0"/>
        <v>3500</v>
      </c>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row>
    <row r="16" spans="1:253" s="3" customFormat="1" x14ac:dyDescent="0.25">
      <c r="B16" s="381"/>
      <c r="C16" s="378"/>
      <c r="D16" s="4"/>
      <c r="E16" s="4"/>
      <c r="F16" s="4"/>
      <c r="G16" s="4"/>
      <c r="H16" s="4"/>
      <c r="I16" s="4"/>
      <c r="J16" s="4"/>
      <c r="K16" s="4"/>
      <c r="L16" s="4"/>
      <c r="M16" s="4"/>
      <c r="N16" s="4"/>
      <c r="O16" s="4"/>
      <c r="P16" s="4"/>
      <c r="Q16" s="30">
        <v>580</v>
      </c>
      <c r="R16" s="33">
        <v>580</v>
      </c>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62"/>
      <c r="BF16" s="190" t="s">
        <v>211</v>
      </c>
      <c r="BG16" s="194">
        <f t="shared" si="1"/>
        <v>580</v>
      </c>
      <c r="BH16" s="125"/>
      <c r="BI16" s="227"/>
      <c r="BJ16" s="125"/>
      <c r="BK16" s="210">
        <f>+BG16*$BG$1</f>
        <v>27260</v>
      </c>
      <c r="BL16" s="229"/>
      <c r="BM16" s="230"/>
      <c r="BN16" s="229"/>
      <c r="BO16" s="230"/>
      <c r="BP16" s="229"/>
      <c r="BQ16" s="230"/>
      <c r="BR16" s="229"/>
      <c r="BS16" s="230"/>
      <c r="BT16" s="229"/>
      <c r="BU16" s="230"/>
      <c r="BV16" s="229"/>
      <c r="BW16" s="230"/>
      <c r="BX16" s="229"/>
      <c r="BY16" s="230"/>
      <c r="BZ16" s="229"/>
      <c r="CA16" s="230"/>
      <c r="CB16" s="229"/>
      <c r="CC16" s="230"/>
      <c r="CD16" s="229"/>
      <c r="CE16" s="228"/>
      <c r="CF16" s="63"/>
      <c r="CG16" s="181">
        <f t="shared" si="0"/>
        <v>27260</v>
      </c>
    </row>
    <row r="17" spans="1:253" s="3" customFormat="1" x14ac:dyDescent="0.25">
      <c r="A17" s="3">
        <v>8</v>
      </c>
      <c r="B17" s="382" t="s">
        <v>195</v>
      </c>
      <c r="C17" s="378" t="s">
        <v>21</v>
      </c>
      <c r="D17" s="4"/>
      <c r="E17" s="4"/>
      <c r="F17" s="4"/>
      <c r="G17" s="23"/>
      <c r="H17" s="4"/>
      <c r="I17" s="23"/>
      <c r="J17" s="4"/>
      <c r="K17" s="4"/>
      <c r="L17" s="4"/>
      <c r="M17" s="4"/>
      <c r="N17" s="4"/>
      <c r="O17" s="23"/>
      <c r="P17" s="4"/>
      <c r="Q17" s="181">
        <v>200</v>
      </c>
      <c r="R17" s="181">
        <v>350</v>
      </c>
      <c r="S17" s="14"/>
      <c r="T17" s="14"/>
      <c r="U17" s="14">
        <v>10</v>
      </c>
      <c r="V17" s="14">
        <v>16</v>
      </c>
      <c r="W17" s="10">
        <v>16</v>
      </c>
      <c r="X17" s="10">
        <v>10</v>
      </c>
      <c r="Y17" s="10">
        <v>10</v>
      </c>
      <c r="Z17" s="15">
        <v>4</v>
      </c>
      <c r="AA17" s="14"/>
      <c r="AB17" s="14"/>
      <c r="AC17" s="14"/>
      <c r="AD17" s="14"/>
      <c r="AE17" s="10"/>
      <c r="AF17" s="10"/>
      <c r="AG17" s="10"/>
      <c r="AH17" s="10"/>
      <c r="AI17" s="14"/>
      <c r="AJ17" s="14"/>
      <c r="AK17" s="14"/>
      <c r="AL17" s="14"/>
      <c r="AM17" s="10"/>
      <c r="AN17" s="10"/>
      <c r="AO17" s="10"/>
      <c r="AP17" s="10"/>
      <c r="AQ17" s="14"/>
      <c r="AR17" s="14"/>
      <c r="AS17" s="14"/>
      <c r="AT17" s="14"/>
      <c r="AU17" s="10"/>
      <c r="AV17" s="10"/>
      <c r="AW17" s="10"/>
      <c r="AX17" s="10"/>
      <c r="AY17" s="14"/>
      <c r="AZ17" s="14"/>
      <c r="BA17" s="14"/>
      <c r="BB17" s="14"/>
      <c r="BC17" s="10"/>
      <c r="BD17" s="10"/>
      <c r="BE17" s="22">
        <v>66</v>
      </c>
      <c r="BF17" s="189" t="s">
        <v>86</v>
      </c>
      <c r="BG17" s="249">
        <f t="shared" si="1"/>
        <v>350</v>
      </c>
      <c r="BH17" s="74">
        <v>26</v>
      </c>
      <c r="BI17" s="194">
        <f>+R17*BH17</f>
        <v>9100</v>
      </c>
      <c r="BJ17" s="74">
        <v>40</v>
      </c>
      <c r="BK17" s="209">
        <f>+R17*BJ17</f>
        <v>14000</v>
      </c>
      <c r="BL17" s="229"/>
      <c r="BM17" s="230"/>
      <c r="BN17" s="229"/>
      <c r="BO17" s="230"/>
      <c r="BP17" s="229"/>
      <c r="BQ17" s="230"/>
      <c r="BR17" s="229"/>
      <c r="BS17" s="230"/>
      <c r="BT17" s="229"/>
      <c r="BU17" s="230"/>
      <c r="BV17" s="229"/>
      <c r="BW17" s="230"/>
      <c r="BX17" s="229"/>
      <c r="BY17" s="230"/>
      <c r="BZ17" s="229"/>
      <c r="CA17" s="230"/>
      <c r="CB17" s="229"/>
      <c r="CC17" s="230"/>
      <c r="CD17" s="229"/>
      <c r="CE17" s="228"/>
      <c r="CF17" s="64">
        <f>+BH17+BJ17+BL17+BN17+BP17+BR17+BT17+BV17+BX17+BZ17+CB17*4+CD17</f>
        <v>66</v>
      </c>
      <c r="CG17" s="181">
        <f t="shared" si="0"/>
        <v>23100</v>
      </c>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row>
    <row r="18" spans="1:253" s="3" customFormat="1" x14ac:dyDescent="0.25">
      <c r="B18" s="382"/>
      <c r="C18" s="378"/>
      <c r="D18" s="4"/>
      <c r="E18" s="4"/>
      <c r="F18" s="4"/>
      <c r="G18" s="4"/>
      <c r="H18" s="4"/>
      <c r="I18" s="4"/>
      <c r="J18" s="4"/>
      <c r="K18" s="4"/>
      <c r="L18" s="4"/>
      <c r="M18" s="4"/>
      <c r="N18" s="4"/>
      <c r="O18" s="4"/>
      <c r="P18" s="4"/>
      <c r="Q18" s="30">
        <v>1800</v>
      </c>
      <c r="R18" s="33">
        <v>1800</v>
      </c>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62"/>
      <c r="BF18" s="190" t="s">
        <v>211</v>
      </c>
      <c r="BG18" s="194">
        <f t="shared" si="1"/>
        <v>1800</v>
      </c>
      <c r="BH18" s="125"/>
      <c r="BI18" s="227"/>
      <c r="BJ18" s="125"/>
      <c r="BK18" s="210">
        <f>+BG18*$BG$1</f>
        <v>84600</v>
      </c>
      <c r="BL18" s="229"/>
      <c r="BM18" s="230"/>
      <c r="BN18" s="229"/>
      <c r="BO18" s="230"/>
      <c r="BP18" s="229"/>
      <c r="BQ18" s="230"/>
      <c r="BR18" s="229"/>
      <c r="BS18" s="230"/>
      <c r="BT18" s="229"/>
      <c r="BU18" s="230"/>
      <c r="BV18" s="229"/>
      <c r="BW18" s="230"/>
      <c r="BX18" s="229"/>
      <c r="BY18" s="230"/>
      <c r="BZ18" s="229"/>
      <c r="CA18" s="230"/>
      <c r="CB18" s="229"/>
      <c r="CC18" s="230"/>
      <c r="CD18" s="229"/>
      <c r="CE18" s="228"/>
      <c r="CF18" s="63"/>
      <c r="CG18" s="181">
        <f t="shared" si="0"/>
        <v>84600</v>
      </c>
    </row>
    <row r="19" spans="1:253" s="3" customFormat="1" x14ac:dyDescent="0.25">
      <c r="A19" s="3">
        <v>9</v>
      </c>
      <c r="B19" s="389" t="s">
        <v>196</v>
      </c>
      <c r="C19" s="387" t="s">
        <v>19</v>
      </c>
      <c r="D19" s="6"/>
      <c r="E19" s="6"/>
      <c r="F19" s="6"/>
      <c r="G19" s="6"/>
      <c r="H19" s="6"/>
      <c r="I19" s="23"/>
      <c r="J19" s="23"/>
      <c r="K19" s="23"/>
      <c r="L19" s="23"/>
      <c r="M19" s="23"/>
      <c r="N19" s="23"/>
      <c r="O19" s="23"/>
      <c r="P19" s="23"/>
      <c r="Q19" s="181">
        <v>250</v>
      </c>
      <c r="R19" s="181">
        <v>350</v>
      </c>
      <c r="S19" s="14"/>
      <c r="T19" s="14"/>
      <c r="U19" s="14"/>
      <c r="V19" s="14">
        <v>10</v>
      </c>
      <c r="W19" s="10">
        <v>10</v>
      </c>
      <c r="X19" s="15">
        <v>4</v>
      </c>
      <c r="Y19" s="10"/>
      <c r="Z19" s="10"/>
      <c r="AA19" s="14"/>
      <c r="AB19" s="14"/>
      <c r="AC19" s="14"/>
      <c r="AD19" s="14"/>
      <c r="AE19" s="10"/>
      <c r="AF19" s="10"/>
      <c r="AG19" s="10"/>
      <c r="AH19" s="10"/>
      <c r="AI19" s="14"/>
      <c r="AJ19" s="14"/>
      <c r="AK19" s="14"/>
      <c r="AL19" s="14"/>
      <c r="AM19" s="10"/>
      <c r="AN19" s="10"/>
      <c r="AO19" s="10"/>
      <c r="AP19" s="10"/>
      <c r="AQ19" s="14"/>
      <c r="AR19" s="14"/>
      <c r="AS19" s="14"/>
      <c r="AT19" s="14"/>
      <c r="AU19" s="10"/>
      <c r="AV19" s="10"/>
      <c r="AW19" s="10"/>
      <c r="AX19" s="10"/>
      <c r="AY19" s="14"/>
      <c r="AZ19" s="14"/>
      <c r="BA19" s="14"/>
      <c r="BB19" s="14"/>
      <c r="BC19" s="10"/>
      <c r="BD19" s="10"/>
      <c r="BE19" s="22">
        <v>24</v>
      </c>
      <c r="BF19" s="189" t="s">
        <v>86</v>
      </c>
      <c r="BG19" s="249">
        <f t="shared" si="1"/>
        <v>350</v>
      </c>
      <c r="BH19" s="74">
        <v>10</v>
      </c>
      <c r="BI19" s="194">
        <f>+R19*BH19</f>
        <v>3500</v>
      </c>
      <c r="BJ19" s="74">
        <v>14</v>
      </c>
      <c r="BK19" s="209">
        <f>+R19*BJ19</f>
        <v>4900</v>
      </c>
      <c r="BL19" s="229"/>
      <c r="BM19" s="230"/>
      <c r="BN19" s="229"/>
      <c r="BO19" s="230"/>
      <c r="BP19" s="229"/>
      <c r="BQ19" s="230"/>
      <c r="BR19" s="229"/>
      <c r="BS19" s="230"/>
      <c r="BT19" s="229"/>
      <c r="BU19" s="230"/>
      <c r="BV19" s="229"/>
      <c r="BW19" s="230"/>
      <c r="BX19" s="229"/>
      <c r="BY19" s="230"/>
      <c r="BZ19" s="229"/>
      <c r="CA19" s="230"/>
      <c r="CB19" s="229"/>
      <c r="CC19" s="230"/>
      <c r="CD19" s="229"/>
      <c r="CE19" s="228"/>
      <c r="CF19" s="64">
        <f>+BH19+BJ19+BL19+BN19+BP19+BR19+BT19+BV19+BX19+BZ19+CB19*4+CD19</f>
        <v>24</v>
      </c>
      <c r="CG19" s="181">
        <f t="shared" si="0"/>
        <v>8400</v>
      </c>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row>
    <row r="20" spans="1:253" s="3" customFormat="1" x14ac:dyDescent="0.25">
      <c r="B20" s="390"/>
      <c r="C20" s="388"/>
      <c r="D20" s="4"/>
      <c r="E20" s="4"/>
      <c r="F20" s="4"/>
      <c r="G20" s="4"/>
      <c r="H20" s="4"/>
      <c r="I20" s="4"/>
      <c r="J20" s="4"/>
      <c r="K20" s="4"/>
      <c r="L20" s="4"/>
      <c r="M20" s="4"/>
      <c r="N20" s="4"/>
      <c r="O20" s="4"/>
      <c r="P20" s="4"/>
      <c r="Q20" s="30">
        <v>2000</v>
      </c>
      <c r="R20" s="33">
        <v>2000</v>
      </c>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62"/>
      <c r="BF20" s="190" t="s">
        <v>211</v>
      </c>
      <c r="BG20" s="194">
        <f t="shared" si="1"/>
        <v>2000</v>
      </c>
      <c r="BH20" s="125"/>
      <c r="BI20" s="227"/>
      <c r="BJ20" s="125"/>
      <c r="BK20" s="210">
        <f>+BG20*$BG$1</f>
        <v>94000</v>
      </c>
      <c r="BL20" s="229"/>
      <c r="BM20" s="230"/>
      <c r="BN20" s="229"/>
      <c r="BO20" s="230"/>
      <c r="BP20" s="229"/>
      <c r="BQ20" s="230"/>
      <c r="BR20" s="229"/>
      <c r="BS20" s="230"/>
      <c r="BT20" s="229"/>
      <c r="BU20" s="230"/>
      <c r="BV20" s="229"/>
      <c r="BW20" s="230"/>
      <c r="BX20" s="229"/>
      <c r="BY20" s="230"/>
      <c r="BZ20" s="229"/>
      <c r="CA20" s="230"/>
      <c r="CB20" s="229"/>
      <c r="CC20" s="230"/>
      <c r="CD20" s="229"/>
      <c r="CE20" s="228"/>
      <c r="CF20" s="63"/>
      <c r="CG20" s="181">
        <f t="shared" si="0"/>
        <v>94000</v>
      </c>
    </row>
    <row r="21" spans="1:253" s="3" customFormat="1" x14ac:dyDescent="0.25">
      <c r="A21" s="3">
        <v>10</v>
      </c>
      <c r="B21" s="391" t="s">
        <v>197</v>
      </c>
      <c r="C21" s="387" t="s">
        <v>8</v>
      </c>
      <c r="D21" s="4"/>
      <c r="E21" s="4"/>
      <c r="F21" s="4"/>
      <c r="G21" s="4"/>
      <c r="H21" s="4"/>
      <c r="I21" s="23"/>
      <c r="J21" s="23"/>
      <c r="K21" s="4"/>
      <c r="L21" s="4"/>
      <c r="M21" s="4"/>
      <c r="N21" s="4"/>
      <c r="O21" s="4"/>
      <c r="P21" s="4"/>
      <c r="Q21" s="181">
        <v>250</v>
      </c>
      <c r="R21" s="181">
        <v>500</v>
      </c>
      <c r="S21" s="14"/>
      <c r="T21" s="14"/>
      <c r="U21" s="14"/>
      <c r="V21" s="14"/>
      <c r="W21" s="10"/>
      <c r="X21" s="10"/>
      <c r="Y21" s="10"/>
      <c r="Z21" s="10"/>
      <c r="AA21" s="14">
        <v>10</v>
      </c>
      <c r="AB21" s="14">
        <v>10</v>
      </c>
      <c r="AC21" s="14">
        <v>10</v>
      </c>
      <c r="AD21" s="15">
        <v>10</v>
      </c>
      <c r="AE21" s="10"/>
      <c r="AF21" s="10"/>
      <c r="AG21" s="10"/>
      <c r="AH21" s="10"/>
      <c r="AI21" s="14"/>
      <c r="AJ21" s="14"/>
      <c r="AK21" s="14"/>
      <c r="AL21" s="14"/>
      <c r="AM21" s="10"/>
      <c r="AN21" s="10"/>
      <c r="AO21" s="10"/>
      <c r="AP21" s="10"/>
      <c r="AQ21" s="14"/>
      <c r="AR21" s="14"/>
      <c r="AS21" s="14"/>
      <c r="AT21" s="14"/>
      <c r="AU21" s="10"/>
      <c r="AV21" s="10"/>
      <c r="AW21" s="10"/>
      <c r="AX21" s="10"/>
      <c r="AY21" s="14"/>
      <c r="AZ21" s="14"/>
      <c r="BA21" s="14"/>
      <c r="BB21" s="14"/>
      <c r="BC21" s="10"/>
      <c r="BD21" s="10"/>
      <c r="BE21" s="22">
        <v>40</v>
      </c>
      <c r="BF21" s="189" t="s">
        <v>86</v>
      </c>
      <c r="BG21" s="249">
        <f t="shared" si="1"/>
        <v>500</v>
      </c>
      <c r="BH21" s="222"/>
      <c r="BI21" s="228"/>
      <c r="BJ21" s="229"/>
      <c r="BK21" s="230"/>
      <c r="BL21" s="74">
        <v>40</v>
      </c>
      <c r="BM21" s="209">
        <f>+R21*BL21</f>
        <v>20000</v>
      </c>
      <c r="BN21" s="229"/>
      <c r="BO21" s="230"/>
      <c r="BP21" s="229"/>
      <c r="BQ21" s="230"/>
      <c r="BR21" s="229"/>
      <c r="BS21" s="230"/>
      <c r="BT21" s="229"/>
      <c r="BU21" s="230"/>
      <c r="BV21" s="229"/>
      <c r="BW21" s="230"/>
      <c r="BX21" s="229"/>
      <c r="BY21" s="230"/>
      <c r="BZ21" s="229"/>
      <c r="CA21" s="230"/>
      <c r="CB21" s="229"/>
      <c r="CC21" s="230"/>
      <c r="CD21" s="229"/>
      <c r="CE21" s="228"/>
      <c r="CF21" s="64">
        <f>+BH21+BJ21+BL21+BN21+BP21+BR21+BT21+BV21+BX21+BZ21+CB21*4+CD21</f>
        <v>40</v>
      </c>
      <c r="CG21" s="181">
        <f t="shared" si="0"/>
        <v>20000</v>
      </c>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row>
    <row r="22" spans="1:253" s="3" customFormat="1" x14ac:dyDescent="0.25">
      <c r="B22" s="392"/>
      <c r="C22" s="388"/>
      <c r="D22" s="4"/>
      <c r="E22" s="4"/>
      <c r="F22" s="4"/>
      <c r="G22" s="4"/>
      <c r="H22" s="4"/>
      <c r="I22" s="4"/>
      <c r="J22" s="4"/>
      <c r="K22" s="4"/>
      <c r="L22" s="4"/>
      <c r="M22" s="4"/>
      <c r="N22" s="4"/>
      <c r="O22" s="4"/>
      <c r="P22" s="4"/>
      <c r="Q22" s="30">
        <v>0</v>
      </c>
      <c r="R22" s="30">
        <v>5000</v>
      </c>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62"/>
      <c r="BF22" s="190" t="s">
        <v>211</v>
      </c>
      <c r="BG22" s="194">
        <f t="shared" si="1"/>
        <v>5000</v>
      </c>
      <c r="BH22" s="223"/>
      <c r="BI22" s="228"/>
      <c r="BJ22" s="231"/>
      <c r="BK22" s="230"/>
      <c r="BL22" s="125"/>
      <c r="BM22" s="210">
        <f>+BG22*$BG$1</f>
        <v>235000</v>
      </c>
      <c r="BN22" s="229"/>
      <c r="BO22" s="230"/>
      <c r="BP22" s="229"/>
      <c r="BQ22" s="230"/>
      <c r="BR22" s="229"/>
      <c r="BS22" s="230"/>
      <c r="BT22" s="229"/>
      <c r="BU22" s="230"/>
      <c r="BV22" s="229"/>
      <c r="BW22" s="230"/>
      <c r="BX22" s="229"/>
      <c r="BY22" s="230"/>
      <c r="BZ22" s="229"/>
      <c r="CA22" s="230"/>
      <c r="CB22" s="229"/>
      <c r="CC22" s="230"/>
      <c r="CD22" s="229"/>
      <c r="CE22" s="228"/>
      <c r="CF22" s="63"/>
      <c r="CG22" s="181">
        <f t="shared" si="0"/>
        <v>235000</v>
      </c>
    </row>
    <row r="23" spans="1:253" s="3" customFormat="1" x14ac:dyDescent="0.25">
      <c r="A23" s="3">
        <v>11</v>
      </c>
      <c r="B23" s="389" t="s">
        <v>198</v>
      </c>
      <c r="C23" s="387" t="s">
        <v>21</v>
      </c>
      <c r="D23" s="6"/>
      <c r="E23" s="6"/>
      <c r="F23" s="6"/>
      <c r="G23" s="6"/>
      <c r="H23" s="6"/>
      <c r="I23" s="23"/>
      <c r="J23" s="23"/>
      <c r="K23" s="23"/>
      <c r="L23" s="23"/>
      <c r="M23" s="6"/>
      <c r="N23" s="23"/>
      <c r="O23" s="23"/>
      <c r="P23" s="23"/>
      <c r="Q23" s="181">
        <v>250</v>
      </c>
      <c r="R23" s="181">
        <v>400</v>
      </c>
      <c r="S23" s="14"/>
      <c r="T23" s="14"/>
      <c r="U23" s="14"/>
      <c r="V23" s="14"/>
      <c r="W23" s="10"/>
      <c r="X23" s="10"/>
      <c r="Y23" s="10"/>
      <c r="Z23" s="10"/>
      <c r="AA23" s="14"/>
      <c r="AB23" s="14"/>
      <c r="AC23" s="14"/>
      <c r="AD23" s="14"/>
      <c r="AE23" s="10">
        <v>10</v>
      </c>
      <c r="AF23" s="10">
        <v>10</v>
      </c>
      <c r="AG23" s="10">
        <v>10</v>
      </c>
      <c r="AH23" s="15">
        <v>10</v>
      </c>
      <c r="AI23" s="14"/>
      <c r="AJ23" s="14"/>
      <c r="AK23" s="14"/>
      <c r="AL23" s="14"/>
      <c r="AM23" s="10"/>
      <c r="AN23" s="10"/>
      <c r="AO23" s="10"/>
      <c r="AP23" s="10"/>
      <c r="AQ23" s="14"/>
      <c r="AR23" s="14"/>
      <c r="AS23" s="14"/>
      <c r="AT23" s="14"/>
      <c r="AU23" s="10"/>
      <c r="AV23" s="10"/>
      <c r="AW23" s="10"/>
      <c r="AX23" s="10"/>
      <c r="AY23" s="14"/>
      <c r="AZ23" s="14"/>
      <c r="BA23" s="14"/>
      <c r="BB23" s="14"/>
      <c r="BC23" s="10"/>
      <c r="BD23" s="10"/>
      <c r="BE23" s="22">
        <v>40</v>
      </c>
      <c r="BF23" s="189" t="s">
        <v>86</v>
      </c>
      <c r="BG23" s="249">
        <f t="shared" si="1"/>
        <v>400</v>
      </c>
      <c r="BH23" s="222"/>
      <c r="BI23" s="228"/>
      <c r="BJ23" s="229"/>
      <c r="BK23" s="230"/>
      <c r="BL23" s="229"/>
      <c r="BM23" s="230"/>
      <c r="BN23" s="74">
        <v>40</v>
      </c>
      <c r="BO23" s="209">
        <f>+R23*BN23</f>
        <v>16000</v>
      </c>
      <c r="BP23" s="229"/>
      <c r="BQ23" s="230"/>
      <c r="BR23" s="229"/>
      <c r="BS23" s="230"/>
      <c r="BT23" s="229"/>
      <c r="BU23" s="230"/>
      <c r="BV23" s="229"/>
      <c r="BW23" s="230"/>
      <c r="BX23" s="229"/>
      <c r="BY23" s="230"/>
      <c r="BZ23" s="229"/>
      <c r="CA23" s="230"/>
      <c r="CB23" s="229"/>
      <c r="CC23" s="230"/>
      <c r="CD23" s="229"/>
      <c r="CE23" s="228"/>
      <c r="CF23" s="64">
        <f>+BH23+BJ23+BL23+BN23+BP23+BR23+BT23+BV23+BX23+BZ23+CB23*4+CD23</f>
        <v>40</v>
      </c>
      <c r="CG23" s="181">
        <f t="shared" si="0"/>
        <v>16000</v>
      </c>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9"/>
      <c r="GB23" s="9"/>
      <c r="GC23" s="9"/>
      <c r="GD23" s="9"/>
      <c r="GE23" s="9"/>
      <c r="GF23" s="9"/>
      <c r="GG23" s="9"/>
      <c r="GH23" s="9"/>
      <c r="GI23" s="9"/>
      <c r="GJ23" s="9"/>
      <c r="GK23" s="9"/>
      <c r="GL23" s="9"/>
      <c r="GM23" s="9"/>
      <c r="GN23" s="9"/>
      <c r="GO23" s="9"/>
      <c r="GP23" s="9"/>
      <c r="GQ23" s="9"/>
      <c r="GR23" s="9"/>
      <c r="GS23" s="9"/>
      <c r="GT23" s="9"/>
      <c r="GU23" s="9"/>
      <c r="GV23" s="9"/>
      <c r="GW23" s="9"/>
      <c r="GX23" s="9"/>
      <c r="GY23" s="9"/>
      <c r="GZ23" s="9"/>
      <c r="HA23" s="9"/>
      <c r="HB23" s="9"/>
      <c r="HC23" s="9"/>
      <c r="HD23" s="9"/>
      <c r="HE23" s="9"/>
      <c r="HF23" s="9"/>
      <c r="HG23" s="9"/>
      <c r="HH23" s="9"/>
      <c r="HI23" s="9"/>
      <c r="HJ23" s="9"/>
      <c r="HK23" s="9"/>
      <c r="HL23" s="9"/>
      <c r="HM23" s="9"/>
      <c r="HN23" s="9"/>
      <c r="HO23" s="9"/>
      <c r="HP23" s="9"/>
      <c r="HQ23" s="9"/>
      <c r="HR23" s="9"/>
      <c r="HS23" s="9"/>
      <c r="HT23" s="9"/>
      <c r="HU23" s="9"/>
      <c r="HV23" s="9"/>
      <c r="HW23" s="9"/>
      <c r="HX23" s="9"/>
      <c r="HY23" s="9"/>
      <c r="HZ23" s="9"/>
      <c r="IA23" s="9"/>
      <c r="IB23" s="9"/>
      <c r="IC23" s="9"/>
      <c r="ID23" s="9"/>
      <c r="IE23" s="9"/>
      <c r="IF23" s="9"/>
      <c r="IG23" s="9"/>
      <c r="IH23" s="9"/>
      <c r="II23" s="9"/>
      <c r="IJ23" s="9"/>
      <c r="IK23" s="9"/>
      <c r="IL23" s="9"/>
      <c r="IM23" s="9"/>
      <c r="IN23" s="9"/>
      <c r="IO23" s="9"/>
      <c r="IP23" s="9"/>
      <c r="IQ23" s="9"/>
      <c r="IR23" s="9"/>
      <c r="IS23" s="9"/>
    </row>
    <row r="24" spans="1:253" s="3" customFormat="1" x14ac:dyDescent="0.25">
      <c r="B24" s="390"/>
      <c r="C24" s="388"/>
      <c r="D24" s="4"/>
      <c r="E24" s="4"/>
      <c r="F24" s="4"/>
      <c r="G24" s="4"/>
      <c r="H24" s="4"/>
      <c r="I24" s="4"/>
      <c r="J24" s="4"/>
      <c r="K24" s="4"/>
      <c r="L24" s="4"/>
      <c r="M24" s="4"/>
      <c r="N24" s="4"/>
      <c r="O24" s="4"/>
      <c r="P24" s="4"/>
      <c r="Q24" s="30">
        <v>0</v>
      </c>
      <c r="R24" s="30">
        <v>4400</v>
      </c>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62"/>
      <c r="BF24" s="190" t="s">
        <v>211</v>
      </c>
      <c r="BG24" s="194">
        <f t="shared" si="1"/>
        <v>4400</v>
      </c>
      <c r="BH24" s="223"/>
      <c r="BI24" s="228"/>
      <c r="BJ24" s="231"/>
      <c r="BK24" s="230"/>
      <c r="BL24" s="231"/>
      <c r="BM24" s="230"/>
      <c r="BN24" s="125"/>
      <c r="BO24" s="210">
        <f>+BG24*$BG$1</f>
        <v>206800</v>
      </c>
      <c r="BP24" s="229"/>
      <c r="BQ24" s="230"/>
      <c r="BR24" s="229"/>
      <c r="BS24" s="230"/>
      <c r="BT24" s="229"/>
      <c r="BU24" s="230"/>
      <c r="BV24" s="229"/>
      <c r="BW24" s="230"/>
      <c r="BX24" s="229"/>
      <c r="BY24" s="230"/>
      <c r="BZ24" s="229"/>
      <c r="CA24" s="230"/>
      <c r="CB24" s="229"/>
      <c r="CC24" s="230"/>
      <c r="CD24" s="229"/>
      <c r="CE24" s="228"/>
      <c r="CF24" s="63"/>
      <c r="CG24" s="181">
        <f t="shared" si="0"/>
        <v>206800</v>
      </c>
    </row>
    <row r="25" spans="1:253" s="3" customFormat="1" x14ac:dyDescent="0.25">
      <c r="A25" s="3">
        <v>12</v>
      </c>
      <c r="B25" s="382" t="s">
        <v>199</v>
      </c>
      <c r="C25" s="387" t="s">
        <v>2</v>
      </c>
      <c r="D25" s="6"/>
      <c r="E25" s="6"/>
      <c r="F25" s="6"/>
      <c r="G25" s="6"/>
      <c r="H25" s="6"/>
      <c r="I25" s="23"/>
      <c r="J25" s="23"/>
      <c r="K25" s="23"/>
      <c r="L25" s="6"/>
      <c r="M25" s="23"/>
      <c r="N25" s="6"/>
      <c r="O25" s="6"/>
      <c r="P25" s="6"/>
      <c r="Q25" s="181">
        <v>250</v>
      </c>
      <c r="R25" s="181">
        <v>350</v>
      </c>
      <c r="S25" s="14"/>
      <c r="T25" s="14"/>
      <c r="U25" s="14"/>
      <c r="V25" s="14"/>
      <c r="W25" s="10"/>
      <c r="X25" s="10"/>
      <c r="Y25" s="10"/>
      <c r="Z25" s="10"/>
      <c r="AA25" s="14"/>
      <c r="AB25" s="14"/>
      <c r="AC25" s="14"/>
      <c r="AD25" s="14"/>
      <c r="AE25" s="10"/>
      <c r="AF25" s="10"/>
      <c r="AG25" s="10"/>
      <c r="AH25" s="10"/>
      <c r="AI25" s="14"/>
      <c r="AJ25" s="14"/>
      <c r="AK25" s="14"/>
      <c r="AL25" s="14"/>
      <c r="AM25" s="10"/>
      <c r="AN25" s="10"/>
      <c r="AO25" s="10"/>
      <c r="AP25" s="10"/>
      <c r="AQ25" s="14"/>
      <c r="AR25" s="14"/>
      <c r="AS25" s="14"/>
      <c r="AT25" s="14"/>
      <c r="AU25" s="10">
        <v>8</v>
      </c>
      <c r="AV25" s="10">
        <v>10</v>
      </c>
      <c r="AW25" s="10">
        <v>10</v>
      </c>
      <c r="AX25" s="10">
        <v>10</v>
      </c>
      <c r="AY25" s="14">
        <v>10</v>
      </c>
      <c r="AZ25" s="14">
        <v>10</v>
      </c>
      <c r="BA25" s="14">
        <v>10</v>
      </c>
      <c r="BB25" s="14">
        <v>12</v>
      </c>
      <c r="BC25" s="10">
        <v>12</v>
      </c>
      <c r="BD25" s="15">
        <v>12</v>
      </c>
      <c r="BE25" s="22">
        <v>104</v>
      </c>
      <c r="BF25" s="189" t="s">
        <v>86</v>
      </c>
      <c r="BG25" s="249">
        <f t="shared" si="1"/>
        <v>350</v>
      </c>
      <c r="BH25" s="222"/>
      <c r="BI25" s="228"/>
      <c r="BJ25" s="229"/>
      <c r="BK25" s="230"/>
      <c r="BL25" s="229"/>
      <c r="BM25" s="230"/>
      <c r="BN25" s="229"/>
      <c r="BO25" s="230"/>
      <c r="BP25" s="229"/>
      <c r="BQ25" s="230"/>
      <c r="BR25" s="229"/>
      <c r="BS25" s="230"/>
      <c r="BT25" s="229"/>
      <c r="BU25" s="230"/>
      <c r="BV25" s="74">
        <v>38</v>
      </c>
      <c r="BW25" s="209">
        <f>+R25*BV25</f>
        <v>13300</v>
      </c>
      <c r="BX25" s="74">
        <v>42</v>
      </c>
      <c r="BY25" s="209">
        <f>+R25*BX25</f>
        <v>14700</v>
      </c>
      <c r="BZ25" s="74">
        <v>24</v>
      </c>
      <c r="CA25" s="209">
        <f>+R25*BZ25</f>
        <v>8400</v>
      </c>
      <c r="CB25" s="229"/>
      <c r="CC25" s="230"/>
      <c r="CD25" s="229"/>
      <c r="CE25" s="228"/>
      <c r="CF25" s="64">
        <f>+BH25+BJ25+BL25+BN25+BP25+BR25+BT25+BV25+BX25+BZ25+CB25*4+CD25</f>
        <v>104</v>
      </c>
      <c r="CG25" s="181">
        <f t="shared" si="0"/>
        <v>36400</v>
      </c>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row>
    <row r="26" spans="1:253" s="3" customFormat="1" x14ac:dyDescent="0.25">
      <c r="B26" s="382"/>
      <c r="C26" s="388"/>
      <c r="D26" s="4"/>
      <c r="E26" s="4"/>
      <c r="F26" s="4"/>
      <c r="G26" s="4"/>
      <c r="H26" s="4"/>
      <c r="I26" s="4"/>
      <c r="J26" s="4"/>
      <c r="K26" s="4"/>
      <c r="L26" s="4"/>
      <c r="M26" s="4"/>
      <c r="N26" s="4"/>
      <c r="O26" s="4"/>
      <c r="P26" s="4"/>
      <c r="Q26" s="30">
        <v>580</v>
      </c>
      <c r="R26" s="33">
        <v>580</v>
      </c>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62"/>
      <c r="BF26" s="190" t="s">
        <v>218</v>
      </c>
      <c r="BG26" s="194">
        <f>+Q26</f>
        <v>580</v>
      </c>
      <c r="BH26" s="223"/>
      <c r="BI26" s="228"/>
      <c r="BJ26" s="231"/>
      <c r="BK26" s="230"/>
      <c r="BL26" s="231"/>
      <c r="BM26" s="230"/>
      <c r="BN26" s="231"/>
      <c r="BO26" s="230"/>
      <c r="BP26" s="231"/>
      <c r="BQ26" s="230"/>
      <c r="BR26" s="231"/>
      <c r="BS26" s="230"/>
      <c r="BT26" s="231"/>
      <c r="BU26" s="230"/>
      <c r="BV26" s="125"/>
      <c r="BW26" s="227"/>
      <c r="BX26" s="125"/>
      <c r="BY26" s="227"/>
      <c r="BZ26" s="125"/>
      <c r="CA26" s="210">
        <f>+BG26*$BG$1</f>
        <v>27260</v>
      </c>
      <c r="CB26" s="229"/>
      <c r="CC26" s="230"/>
      <c r="CD26" s="229"/>
      <c r="CE26" s="228"/>
      <c r="CF26" s="63"/>
      <c r="CG26" s="181">
        <f t="shared" si="0"/>
        <v>27260</v>
      </c>
    </row>
    <row r="27" spans="1:253" s="3" customFormat="1" ht="15" customHeight="1" x14ac:dyDescent="0.25">
      <c r="A27" s="3">
        <v>13</v>
      </c>
      <c r="B27" s="382"/>
      <c r="C27" s="383" t="s">
        <v>96</v>
      </c>
      <c r="D27" s="6"/>
      <c r="E27" s="6"/>
      <c r="F27" s="6"/>
      <c r="G27" s="6"/>
      <c r="H27" s="6"/>
      <c r="I27" s="23"/>
      <c r="J27" s="23"/>
      <c r="K27" s="23"/>
      <c r="L27" s="6"/>
      <c r="M27" s="23"/>
      <c r="N27" s="6"/>
      <c r="O27" s="6"/>
      <c r="P27" s="6"/>
      <c r="Q27" s="181">
        <v>250</v>
      </c>
      <c r="R27" s="181">
        <v>350</v>
      </c>
      <c r="S27" s="14"/>
      <c r="T27" s="14"/>
      <c r="U27" s="14"/>
      <c r="V27" s="14"/>
      <c r="W27" s="10"/>
      <c r="X27" s="10"/>
      <c r="Y27" s="10"/>
      <c r="Z27" s="10"/>
      <c r="AA27" s="14"/>
      <c r="AB27" s="14"/>
      <c r="AC27" s="14"/>
      <c r="AD27" s="14"/>
      <c r="AE27" s="10"/>
      <c r="AF27" s="10"/>
      <c r="AG27" s="10"/>
      <c r="AH27" s="10"/>
      <c r="AI27" s="14"/>
      <c r="AJ27" s="14"/>
      <c r="AK27" s="14"/>
      <c r="AL27" s="14"/>
      <c r="AM27" s="10"/>
      <c r="AN27" s="10"/>
      <c r="AO27" s="10"/>
      <c r="AP27" s="10"/>
      <c r="AQ27" s="14"/>
      <c r="AR27" s="14">
        <v>6</v>
      </c>
      <c r="AS27" s="14">
        <v>6</v>
      </c>
      <c r="AT27" s="14">
        <v>6</v>
      </c>
      <c r="AU27" s="15">
        <v>2</v>
      </c>
      <c r="AV27" s="10"/>
      <c r="AW27" s="10"/>
      <c r="AX27" s="10"/>
      <c r="AY27" s="14"/>
      <c r="AZ27" s="14"/>
      <c r="BA27" s="14"/>
      <c r="BB27" s="14"/>
      <c r="BC27" s="10"/>
      <c r="BD27" s="10"/>
      <c r="BE27" s="22">
        <v>20</v>
      </c>
      <c r="BF27" s="189" t="s">
        <v>86</v>
      </c>
      <c r="BG27" s="249">
        <f>+R27</f>
        <v>350</v>
      </c>
      <c r="BH27" s="222"/>
      <c r="BI27" s="228"/>
      <c r="BJ27" s="229"/>
      <c r="BK27" s="230"/>
      <c r="BL27" s="229"/>
      <c r="BM27" s="230"/>
      <c r="BN27" s="229"/>
      <c r="BO27" s="230"/>
      <c r="BP27" s="229"/>
      <c r="BQ27" s="230"/>
      <c r="BR27" s="229"/>
      <c r="BS27" s="230"/>
      <c r="BT27" s="74">
        <v>18</v>
      </c>
      <c r="BU27" s="209">
        <f>+R27*BT27</f>
        <v>6300</v>
      </c>
      <c r="BV27" s="74">
        <v>2</v>
      </c>
      <c r="BW27" s="209">
        <f>+R27*BV27</f>
        <v>700</v>
      </c>
      <c r="BX27" s="229"/>
      <c r="BY27" s="230"/>
      <c r="BZ27" s="229"/>
      <c r="CA27" s="230"/>
      <c r="CB27" s="229"/>
      <c r="CC27" s="230"/>
      <c r="CD27" s="229"/>
      <c r="CE27" s="228"/>
      <c r="CF27" s="64">
        <f>+BH27+BJ27+BL27+BN27+BP27+BR27+BT27+BV27+BX27+BZ27+CB27*4+CD27</f>
        <v>20</v>
      </c>
      <c r="CG27" s="181">
        <f t="shared" si="0"/>
        <v>7000</v>
      </c>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row>
    <row r="28" spans="1:253" s="3" customFormat="1" x14ac:dyDescent="0.25">
      <c r="B28" s="382"/>
      <c r="C28" s="384"/>
      <c r="D28" s="4"/>
      <c r="E28" s="4"/>
      <c r="F28" s="4"/>
      <c r="G28" s="4"/>
      <c r="H28" s="4"/>
      <c r="I28" s="4"/>
      <c r="J28" s="4"/>
      <c r="K28" s="4"/>
      <c r="L28" s="4"/>
      <c r="M28" s="4"/>
      <c r="N28" s="4"/>
      <c r="O28" s="4"/>
      <c r="P28" s="4"/>
      <c r="Q28" s="30">
        <v>950</v>
      </c>
      <c r="R28" s="33">
        <v>950</v>
      </c>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62"/>
      <c r="BF28" s="190" t="s">
        <v>217</v>
      </c>
      <c r="BG28" s="194">
        <f>+Q28</f>
        <v>950</v>
      </c>
      <c r="BH28" s="223"/>
      <c r="BI28" s="228"/>
      <c r="BJ28" s="231"/>
      <c r="BK28" s="230"/>
      <c r="BL28" s="231"/>
      <c r="BM28" s="230"/>
      <c r="BN28" s="231"/>
      <c r="BO28" s="230"/>
      <c r="BP28" s="231"/>
      <c r="BQ28" s="230"/>
      <c r="BR28" s="231"/>
      <c r="BS28" s="230"/>
      <c r="BT28" s="125"/>
      <c r="BU28" s="227"/>
      <c r="BV28" s="125"/>
      <c r="BW28" s="227"/>
      <c r="BX28" s="125"/>
      <c r="BY28" s="227"/>
      <c r="BZ28" s="125"/>
      <c r="CA28" s="210">
        <f>+BG28*$BG$1</f>
        <v>44650</v>
      </c>
      <c r="CB28" s="229"/>
      <c r="CC28" s="230"/>
      <c r="CD28" s="229"/>
      <c r="CE28" s="228"/>
      <c r="CF28" s="63"/>
      <c r="CG28" s="181">
        <f t="shared" si="0"/>
        <v>44650</v>
      </c>
    </row>
    <row r="29" spans="1:253" s="3" customFormat="1" x14ac:dyDescent="0.25">
      <c r="A29" s="3">
        <v>14</v>
      </c>
      <c r="B29" s="391" t="s">
        <v>200</v>
      </c>
      <c r="C29" s="387" t="s">
        <v>219</v>
      </c>
      <c r="D29" s="4"/>
      <c r="E29" s="4"/>
      <c r="F29" s="4"/>
      <c r="G29" s="4"/>
      <c r="H29" s="4"/>
      <c r="I29" s="23"/>
      <c r="J29" s="23"/>
      <c r="K29" s="23"/>
      <c r="L29" s="4"/>
      <c r="M29" s="4"/>
      <c r="N29" s="4"/>
      <c r="O29" s="4"/>
      <c r="P29" s="4"/>
      <c r="Q29" s="181">
        <v>250</v>
      </c>
      <c r="R29" s="181">
        <v>350</v>
      </c>
      <c r="S29" s="14"/>
      <c r="T29" s="14"/>
      <c r="U29" s="14"/>
      <c r="V29" s="14"/>
      <c r="W29" s="10"/>
      <c r="X29" s="10"/>
      <c r="Y29" s="10"/>
      <c r="Z29" s="10"/>
      <c r="AA29" s="14"/>
      <c r="AB29" s="14"/>
      <c r="AC29" s="14"/>
      <c r="AD29" s="14"/>
      <c r="AE29" s="10"/>
      <c r="AF29" s="10"/>
      <c r="AG29" s="10"/>
      <c r="AH29" s="10"/>
      <c r="AI29" s="14"/>
      <c r="AJ29" s="14"/>
      <c r="AK29" s="14"/>
      <c r="AL29" s="14"/>
      <c r="AM29" s="10"/>
      <c r="AN29" s="10"/>
      <c r="AO29" s="10">
        <v>6</v>
      </c>
      <c r="AP29" s="10">
        <v>6</v>
      </c>
      <c r="AQ29" s="14">
        <v>6</v>
      </c>
      <c r="AR29" s="14">
        <v>6</v>
      </c>
      <c r="AS29" s="14">
        <v>6</v>
      </c>
      <c r="AT29" s="14">
        <v>6</v>
      </c>
      <c r="AU29" s="15">
        <v>4</v>
      </c>
      <c r="AV29" s="10"/>
      <c r="AW29" s="10"/>
      <c r="AX29" s="10"/>
      <c r="AY29" s="14"/>
      <c r="AZ29" s="14"/>
      <c r="BA29" s="14"/>
      <c r="BB29" s="14"/>
      <c r="BC29" s="10"/>
      <c r="BD29" s="10"/>
      <c r="BE29" s="22">
        <v>40</v>
      </c>
      <c r="BF29" s="189" t="s">
        <v>86</v>
      </c>
      <c r="BG29" s="249">
        <f>+R29</f>
        <v>350</v>
      </c>
      <c r="BH29" s="222"/>
      <c r="BI29" s="228"/>
      <c r="BJ29" s="229"/>
      <c r="BK29" s="230"/>
      <c r="BL29" s="229"/>
      <c r="BM29" s="230"/>
      <c r="BN29" s="229"/>
      <c r="BO29" s="230"/>
      <c r="BP29" s="229"/>
      <c r="BQ29" s="230"/>
      <c r="BR29" s="74">
        <v>12</v>
      </c>
      <c r="BS29" s="233">
        <f>+R29*BR29</f>
        <v>4200</v>
      </c>
      <c r="BT29" s="74">
        <v>24</v>
      </c>
      <c r="BU29" s="233">
        <f>+R29*BT29</f>
        <v>8400</v>
      </c>
      <c r="BV29" s="74">
        <v>4</v>
      </c>
      <c r="BW29" s="209">
        <f>+R29*BV29</f>
        <v>1400</v>
      </c>
      <c r="BX29" s="229"/>
      <c r="BY29" s="230"/>
      <c r="BZ29" s="229"/>
      <c r="CA29" s="230"/>
      <c r="CB29" s="229"/>
      <c r="CC29" s="230"/>
      <c r="CD29" s="229"/>
      <c r="CE29" s="228"/>
      <c r="CF29" s="64">
        <f>+BH29+BJ29+BL29+BN29+BP29+BR29+BT29+BV29+BX29+BZ29+CB29*4+CD29</f>
        <v>40</v>
      </c>
      <c r="CG29" s="181">
        <f t="shared" si="0"/>
        <v>14000</v>
      </c>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c r="HE29" s="9"/>
      <c r="HF29" s="9"/>
      <c r="HG29" s="9"/>
      <c r="HH29" s="9"/>
      <c r="HI29" s="9"/>
      <c r="HJ29" s="9"/>
      <c r="HK29" s="9"/>
      <c r="HL29" s="9"/>
      <c r="HM29" s="9"/>
      <c r="HN29" s="9"/>
      <c r="HO29" s="9"/>
      <c r="HP29" s="9"/>
      <c r="HQ29" s="9"/>
      <c r="HR29" s="9"/>
      <c r="HS29" s="9"/>
      <c r="HT29" s="9"/>
      <c r="HU29" s="9"/>
      <c r="HV29" s="9"/>
      <c r="HW29" s="9"/>
      <c r="HX29" s="9"/>
      <c r="HY29" s="9"/>
      <c r="HZ29" s="9"/>
      <c r="IA29" s="9"/>
      <c r="IB29" s="9"/>
      <c r="IC29" s="9"/>
      <c r="ID29" s="9"/>
      <c r="IE29" s="9"/>
      <c r="IF29" s="9"/>
      <c r="IG29" s="9"/>
      <c r="IH29" s="9"/>
      <c r="II29" s="9"/>
      <c r="IJ29" s="9"/>
      <c r="IK29" s="9"/>
      <c r="IL29" s="9"/>
      <c r="IM29" s="9"/>
      <c r="IN29" s="9"/>
      <c r="IO29" s="9"/>
      <c r="IP29" s="9"/>
      <c r="IQ29" s="9"/>
      <c r="IR29" s="9"/>
      <c r="IS29" s="9"/>
    </row>
    <row r="30" spans="1:253" s="3" customFormat="1" x14ac:dyDescent="0.25">
      <c r="B30" s="392"/>
      <c r="C30" s="388"/>
      <c r="D30" s="4"/>
      <c r="E30" s="4"/>
      <c r="F30" s="4"/>
      <c r="G30" s="4"/>
      <c r="H30" s="4"/>
      <c r="I30" s="4"/>
      <c r="J30" s="4"/>
      <c r="K30" s="4"/>
      <c r="L30" s="4"/>
      <c r="M30" s="4"/>
      <c r="N30" s="4"/>
      <c r="O30" s="4"/>
      <c r="P30" s="4"/>
      <c r="Q30" s="30">
        <v>1600</v>
      </c>
      <c r="R30" s="33">
        <v>1600</v>
      </c>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62"/>
      <c r="BF30" s="190" t="s">
        <v>211</v>
      </c>
      <c r="BG30" s="194">
        <f>+Q30</f>
        <v>1600</v>
      </c>
      <c r="BH30" s="223"/>
      <c r="BI30" s="228"/>
      <c r="BJ30" s="231"/>
      <c r="BK30" s="230"/>
      <c r="BL30" s="231"/>
      <c r="BM30" s="230"/>
      <c r="BN30" s="231"/>
      <c r="BO30" s="230"/>
      <c r="BP30" s="231"/>
      <c r="BQ30" s="230"/>
      <c r="BR30" s="125"/>
      <c r="BS30" s="227"/>
      <c r="BT30" s="125"/>
      <c r="BU30" s="227"/>
      <c r="BV30" s="125"/>
      <c r="BW30" s="210">
        <f>+BG30*$BG$1</f>
        <v>75200</v>
      </c>
      <c r="BX30" s="229"/>
      <c r="BY30" s="230"/>
      <c r="BZ30" s="229"/>
      <c r="CA30" s="230"/>
      <c r="CB30" s="229"/>
      <c r="CC30" s="230"/>
      <c r="CD30" s="229"/>
      <c r="CE30" s="228"/>
      <c r="CF30" s="63"/>
      <c r="CG30" s="181">
        <f t="shared" si="0"/>
        <v>75200</v>
      </c>
    </row>
    <row r="31" spans="1:253" s="3" customFormat="1" ht="22.5" customHeight="1" x14ac:dyDescent="0.25">
      <c r="A31" s="3">
        <v>15</v>
      </c>
      <c r="B31" s="393" t="s">
        <v>201</v>
      </c>
      <c r="C31" s="387" t="s">
        <v>29</v>
      </c>
      <c r="D31" s="4"/>
      <c r="E31" s="4"/>
      <c r="F31" s="4"/>
      <c r="G31" s="4"/>
      <c r="H31" s="4"/>
      <c r="I31" s="23"/>
      <c r="J31" s="23"/>
      <c r="K31" s="23"/>
      <c r="L31" s="23"/>
      <c r="M31" s="4"/>
      <c r="N31" s="4"/>
      <c r="O31" s="23"/>
      <c r="P31" s="4"/>
      <c r="Q31" s="181">
        <v>250</v>
      </c>
      <c r="R31" s="181">
        <v>500</v>
      </c>
      <c r="S31" s="14"/>
      <c r="T31" s="14"/>
      <c r="U31" s="14"/>
      <c r="V31" s="14"/>
      <c r="W31" s="10"/>
      <c r="X31" s="10"/>
      <c r="Y31" s="10"/>
      <c r="Z31" s="10"/>
      <c r="AA31" s="14"/>
      <c r="AB31" s="14"/>
      <c r="AC31" s="14"/>
      <c r="AD31" s="14"/>
      <c r="AE31" s="10"/>
      <c r="AF31" s="10"/>
      <c r="AG31" s="10"/>
      <c r="AH31" s="10"/>
      <c r="AI31" s="14">
        <v>10</v>
      </c>
      <c r="AJ31" s="14">
        <v>10</v>
      </c>
      <c r="AK31" s="14">
        <v>10</v>
      </c>
      <c r="AL31" s="14">
        <v>10</v>
      </c>
      <c r="AM31" s="10">
        <v>10</v>
      </c>
      <c r="AN31" s="10">
        <v>10</v>
      </c>
      <c r="AO31" s="15">
        <v>6</v>
      </c>
      <c r="AP31" s="10"/>
      <c r="AQ31" s="14"/>
      <c r="AR31" s="14"/>
      <c r="AS31" s="14"/>
      <c r="AT31" s="14"/>
      <c r="AU31" s="10"/>
      <c r="AV31" s="10"/>
      <c r="AW31" s="10"/>
      <c r="AX31" s="10"/>
      <c r="AY31" s="14"/>
      <c r="AZ31" s="14"/>
      <c r="BA31" s="14"/>
      <c r="BB31" s="14"/>
      <c r="BC31" s="10"/>
      <c r="BD31" s="10"/>
      <c r="BE31" s="22">
        <v>66</v>
      </c>
      <c r="BF31" s="189" t="s">
        <v>86</v>
      </c>
      <c r="BG31" s="249">
        <f>+R31</f>
        <v>500</v>
      </c>
      <c r="BH31" s="222"/>
      <c r="BI31" s="228"/>
      <c r="BJ31" s="229"/>
      <c r="BK31" s="230"/>
      <c r="BL31" s="229"/>
      <c r="BM31" s="230"/>
      <c r="BN31" s="229"/>
      <c r="BO31" s="230"/>
      <c r="BP31" s="74">
        <v>40</v>
      </c>
      <c r="BQ31" s="233">
        <f>+R31*BP31</f>
        <v>20000</v>
      </c>
      <c r="BR31" s="74">
        <v>26</v>
      </c>
      <c r="BS31" s="209">
        <f>+R31*BR31</f>
        <v>13000</v>
      </c>
      <c r="BT31" s="229"/>
      <c r="BU31" s="230"/>
      <c r="BV31" s="229"/>
      <c r="BW31" s="230"/>
      <c r="BX31" s="229"/>
      <c r="BY31" s="230"/>
      <c r="BZ31" s="229"/>
      <c r="CA31" s="230"/>
      <c r="CB31" s="229"/>
      <c r="CC31" s="230"/>
      <c r="CD31" s="229"/>
      <c r="CE31" s="228"/>
      <c r="CF31" s="64">
        <f>+BH31+BJ31+BL31+BN31+BP31+BR31+BT31+BV31+BX31+BZ31+CB31*4+CD31</f>
        <v>66</v>
      </c>
      <c r="CG31" s="181">
        <f t="shared" si="0"/>
        <v>33000</v>
      </c>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c r="IR31" s="9"/>
      <c r="IS31" s="9"/>
    </row>
    <row r="32" spans="1:253" s="3" customFormat="1" ht="22.5" customHeight="1" x14ac:dyDescent="0.25">
      <c r="B32" s="394"/>
      <c r="C32" s="388"/>
      <c r="D32" s="4"/>
      <c r="E32" s="4"/>
      <c r="F32" s="4"/>
      <c r="G32" s="4"/>
      <c r="H32" s="4"/>
      <c r="I32" s="4"/>
      <c r="J32" s="4"/>
      <c r="K32" s="4"/>
      <c r="L32" s="4"/>
      <c r="M32" s="4"/>
      <c r="N32" s="4"/>
      <c r="O32" s="4"/>
      <c r="P32" s="4"/>
      <c r="Q32" s="30">
        <v>1500</v>
      </c>
      <c r="R32" s="33">
        <v>1500</v>
      </c>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62"/>
      <c r="BF32" s="190" t="s">
        <v>211</v>
      </c>
      <c r="BG32" s="194">
        <f>+Q32</f>
        <v>1500</v>
      </c>
      <c r="BH32" s="223"/>
      <c r="BI32" s="228"/>
      <c r="BJ32" s="231"/>
      <c r="BK32" s="230"/>
      <c r="BL32" s="231"/>
      <c r="BM32" s="230"/>
      <c r="BN32" s="231"/>
      <c r="BO32" s="230"/>
      <c r="BP32" s="125"/>
      <c r="BQ32" s="227"/>
      <c r="BR32" s="125"/>
      <c r="BS32" s="210">
        <f>+BG32*$BG$1</f>
        <v>70500</v>
      </c>
      <c r="BT32" s="229"/>
      <c r="BU32" s="230"/>
      <c r="BV32" s="229"/>
      <c r="BW32" s="230"/>
      <c r="BX32" s="229"/>
      <c r="BY32" s="230"/>
      <c r="BZ32" s="229"/>
      <c r="CA32" s="230"/>
      <c r="CB32" s="229"/>
      <c r="CC32" s="230"/>
      <c r="CD32" s="229"/>
      <c r="CE32" s="228"/>
      <c r="CF32" s="63"/>
      <c r="CG32" s="181">
        <f t="shared" si="0"/>
        <v>70500</v>
      </c>
    </row>
    <row r="33" spans="1:253" s="3" customFormat="1" ht="23.25" customHeight="1" x14ac:dyDescent="0.25">
      <c r="A33" s="3">
        <v>16</v>
      </c>
      <c r="B33" s="385" t="s">
        <v>202</v>
      </c>
      <c r="C33" s="387" t="s">
        <v>26</v>
      </c>
      <c r="D33" s="4"/>
      <c r="E33" s="4"/>
      <c r="F33" s="4"/>
      <c r="G33" s="4"/>
      <c r="H33" s="4"/>
      <c r="I33" s="4"/>
      <c r="J33" s="4"/>
      <c r="K33" s="23"/>
      <c r="L33" s="4"/>
      <c r="M33" s="4"/>
      <c r="N33" s="4"/>
      <c r="O33" s="23"/>
      <c r="P33" s="4"/>
      <c r="Q33" s="181">
        <v>250</v>
      </c>
      <c r="R33" s="181">
        <v>500</v>
      </c>
      <c r="S33" s="14"/>
      <c r="T33" s="14"/>
      <c r="U33" s="14"/>
      <c r="V33" s="14"/>
      <c r="W33" s="10"/>
      <c r="X33" s="10">
        <v>6</v>
      </c>
      <c r="Y33" s="10">
        <v>6</v>
      </c>
      <c r="Z33" s="10">
        <v>6</v>
      </c>
      <c r="AA33" s="14">
        <v>6</v>
      </c>
      <c r="AB33" s="14">
        <v>6</v>
      </c>
      <c r="AC33" s="14">
        <v>6</v>
      </c>
      <c r="AD33" s="15">
        <v>4</v>
      </c>
      <c r="AE33" s="10"/>
      <c r="AF33" s="10"/>
      <c r="AG33" s="10"/>
      <c r="AH33" s="10"/>
      <c r="AI33" s="14"/>
      <c r="AJ33" s="14"/>
      <c r="AK33" s="14"/>
      <c r="AL33" s="14"/>
      <c r="AM33" s="10"/>
      <c r="AN33" s="10"/>
      <c r="AO33" s="10"/>
      <c r="AP33" s="10"/>
      <c r="AQ33" s="14"/>
      <c r="AR33" s="14"/>
      <c r="AS33" s="14"/>
      <c r="AT33" s="14"/>
      <c r="AU33" s="10"/>
      <c r="AV33" s="10"/>
      <c r="AW33" s="10"/>
      <c r="AX33" s="10"/>
      <c r="AY33" s="14"/>
      <c r="AZ33" s="14"/>
      <c r="BA33" s="14"/>
      <c r="BB33" s="14"/>
      <c r="BC33" s="10"/>
      <c r="BD33" s="10"/>
      <c r="BE33" s="22">
        <v>40</v>
      </c>
      <c r="BF33" s="189" t="s">
        <v>86</v>
      </c>
      <c r="BG33" s="249">
        <f>+R33</f>
        <v>500</v>
      </c>
      <c r="BH33" s="222"/>
      <c r="BI33" s="228"/>
      <c r="BJ33" s="74">
        <v>18</v>
      </c>
      <c r="BK33" s="233">
        <f>+R33*BJ33</f>
        <v>9000</v>
      </c>
      <c r="BL33" s="74">
        <v>22</v>
      </c>
      <c r="BM33" s="209">
        <f>+R33*BL33</f>
        <v>11000</v>
      </c>
      <c r="BN33" s="229"/>
      <c r="BO33" s="230"/>
      <c r="BP33" s="229"/>
      <c r="BQ33" s="230"/>
      <c r="BR33" s="229"/>
      <c r="BS33" s="230"/>
      <c r="BT33" s="229"/>
      <c r="BU33" s="230"/>
      <c r="BV33" s="229"/>
      <c r="BW33" s="230"/>
      <c r="BX33" s="229"/>
      <c r="BY33" s="230"/>
      <c r="BZ33" s="229"/>
      <c r="CA33" s="230"/>
      <c r="CB33" s="229"/>
      <c r="CC33" s="230"/>
      <c r="CD33" s="229"/>
      <c r="CE33" s="228"/>
      <c r="CF33" s="64">
        <f>+BH33+BJ33+BL33+BN33+BP33+BR33+BT33+BV33+BX33+BZ33+CB33*4+CD33</f>
        <v>40</v>
      </c>
      <c r="CG33" s="181">
        <f t="shared" si="0"/>
        <v>20000</v>
      </c>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row>
    <row r="34" spans="1:253" s="3" customFormat="1" ht="23.25" customHeight="1" x14ac:dyDescent="0.25">
      <c r="B34" s="386"/>
      <c r="C34" s="388"/>
      <c r="D34" s="4"/>
      <c r="E34" s="4"/>
      <c r="F34" s="4"/>
      <c r="G34" s="4"/>
      <c r="H34" s="4"/>
      <c r="I34" s="4"/>
      <c r="J34" s="4"/>
      <c r="K34" s="4"/>
      <c r="L34" s="4"/>
      <c r="M34" s="4"/>
      <c r="N34" s="4"/>
      <c r="O34" s="4"/>
      <c r="P34" s="4"/>
      <c r="Q34" s="30">
        <v>0</v>
      </c>
      <c r="R34" s="30">
        <v>4400</v>
      </c>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62"/>
      <c r="BF34" s="190" t="s">
        <v>211</v>
      </c>
      <c r="BG34" s="194">
        <f>+R34</f>
        <v>4400</v>
      </c>
      <c r="BH34" s="223"/>
      <c r="BI34" s="228"/>
      <c r="BJ34" s="125"/>
      <c r="BK34" s="211"/>
      <c r="BL34" s="125"/>
      <c r="BM34" s="210">
        <f>+BG34*$BG$1</f>
        <v>206800</v>
      </c>
      <c r="BN34" s="229"/>
      <c r="BO34" s="230"/>
      <c r="BP34" s="229"/>
      <c r="BQ34" s="230"/>
      <c r="BR34" s="229"/>
      <c r="BS34" s="230"/>
      <c r="BT34" s="229"/>
      <c r="BU34" s="230"/>
      <c r="BV34" s="229"/>
      <c r="BW34" s="230"/>
      <c r="BX34" s="229"/>
      <c r="BY34" s="230"/>
      <c r="BZ34" s="229"/>
      <c r="CA34" s="230"/>
      <c r="CB34" s="229"/>
      <c r="CC34" s="230"/>
      <c r="CD34" s="229"/>
      <c r="CE34" s="228"/>
      <c r="CF34" s="63"/>
      <c r="CG34" s="181">
        <f t="shared" si="0"/>
        <v>206800</v>
      </c>
    </row>
    <row r="35" spans="1:253" s="3" customFormat="1" x14ac:dyDescent="0.25">
      <c r="A35" s="3">
        <v>17</v>
      </c>
      <c r="B35" s="385" t="s">
        <v>203</v>
      </c>
      <c r="C35" s="383" t="s">
        <v>28</v>
      </c>
      <c r="D35" s="4"/>
      <c r="E35" s="4"/>
      <c r="F35" s="4"/>
      <c r="G35" s="4"/>
      <c r="H35" s="4"/>
      <c r="I35" s="4"/>
      <c r="J35" s="4"/>
      <c r="K35" s="4"/>
      <c r="L35" s="4"/>
      <c r="M35" s="4"/>
      <c r="N35" s="4"/>
      <c r="O35" s="23"/>
      <c r="P35" s="4"/>
      <c r="Q35" s="181">
        <v>250</v>
      </c>
      <c r="R35" s="181">
        <v>350</v>
      </c>
      <c r="S35" s="14"/>
      <c r="T35" s="14"/>
      <c r="U35" s="14"/>
      <c r="V35" s="14"/>
      <c r="W35" s="10"/>
      <c r="X35" s="10"/>
      <c r="Y35" s="10"/>
      <c r="Z35" s="10"/>
      <c r="AA35" s="14"/>
      <c r="AB35" s="14"/>
      <c r="AC35" s="14"/>
      <c r="AD35" s="14"/>
      <c r="AE35" s="10"/>
      <c r="AF35" s="10"/>
      <c r="AG35" s="10"/>
      <c r="AH35" s="10"/>
      <c r="AI35" s="14"/>
      <c r="AJ35" s="14"/>
      <c r="AK35" s="14"/>
      <c r="AL35" s="14">
        <v>4</v>
      </c>
      <c r="AM35" s="10">
        <v>4</v>
      </c>
      <c r="AN35" s="10">
        <v>4</v>
      </c>
      <c r="AO35" s="10">
        <v>4</v>
      </c>
      <c r="AP35" s="10">
        <v>4</v>
      </c>
      <c r="AQ35" s="14">
        <v>4</v>
      </c>
      <c r="AR35" s="14">
        <v>4</v>
      </c>
      <c r="AS35" s="15">
        <v>2</v>
      </c>
      <c r="AT35" s="14"/>
      <c r="AU35" s="10"/>
      <c r="AV35" s="10"/>
      <c r="AW35" s="10"/>
      <c r="AX35" s="10"/>
      <c r="AY35" s="14"/>
      <c r="AZ35" s="14"/>
      <c r="BA35" s="14"/>
      <c r="BB35" s="14"/>
      <c r="BC35" s="10"/>
      <c r="BD35" s="10"/>
      <c r="BE35" s="22">
        <v>30</v>
      </c>
      <c r="BF35" s="189" t="s">
        <v>86</v>
      </c>
      <c r="BG35" s="249">
        <f>+R35</f>
        <v>350</v>
      </c>
      <c r="BH35" s="222"/>
      <c r="BI35" s="228"/>
      <c r="BJ35" s="229"/>
      <c r="BK35" s="230"/>
      <c r="BL35" s="229"/>
      <c r="BM35" s="230"/>
      <c r="BN35" s="229"/>
      <c r="BO35" s="230"/>
      <c r="BP35" s="74">
        <v>4</v>
      </c>
      <c r="BQ35" s="233">
        <f>+R35*BP35</f>
        <v>1400</v>
      </c>
      <c r="BR35" s="74">
        <v>16</v>
      </c>
      <c r="BS35" s="233">
        <f>+R35*BR35</f>
        <v>5600</v>
      </c>
      <c r="BT35" s="74">
        <v>10</v>
      </c>
      <c r="BU35" s="209">
        <f>+R35*BT35</f>
        <v>3500</v>
      </c>
      <c r="BV35" s="229"/>
      <c r="BW35" s="230"/>
      <c r="BX35" s="229"/>
      <c r="BY35" s="230"/>
      <c r="BZ35" s="229"/>
      <c r="CA35" s="230"/>
      <c r="CB35" s="229"/>
      <c r="CC35" s="230"/>
      <c r="CD35" s="229"/>
      <c r="CE35" s="228"/>
      <c r="CF35" s="64">
        <f>+BH35+BJ35+BL35+BN35+BP35+BR35+BT35+BV35+BX35+BZ35+CB35*4+CD35</f>
        <v>30</v>
      </c>
      <c r="CG35" s="181">
        <f t="shared" si="0"/>
        <v>10500</v>
      </c>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c r="HE35" s="9"/>
      <c r="HF35" s="9"/>
      <c r="HG35" s="9"/>
      <c r="HH35" s="9"/>
      <c r="HI35" s="9"/>
      <c r="HJ35" s="9"/>
      <c r="HK35" s="9"/>
      <c r="HL35" s="9"/>
      <c r="HM35" s="9"/>
      <c r="HN35" s="9"/>
      <c r="HO35" s="9"/>
      <c r="HP35" s="9"/>
      <c r="HQ35" s="9"/>
      <c r="HR35" s="9"/>
      <c r="HS35" s="9"/>
      <c r="HT35" s="9"/>
      <c r="HU35" s="9"/>
      <c r="HV35" s="9"/>
      <c r="HW35" s="9"/>
      <c r="HX35" s="9"/>
      <c r="HY35" s="9"/>
      <c r="HZ35" s="9"/>
      <c r="IA35" s="9"/>
      <c r="IB35" s="9"/>
      <c r="IC35" s="9"/>
      <c r="ID35" s="9"/>
      <c r="IE35" s="9"/>
      <c r="IF35" s="9"/>
      <c r="IG35" s="9"/>
      <c r="IH35" s="9"/>
      <c r="II35" s="9"/>
      <c r="IJ35" s="9"/>
      <c r="IK35" s="9"/>
      <c r="IL35" s="9"/>
      <c r="IM35" s="9"/>
      <c r="IN35" s="9"/>
      <c r="IO35" s="9"/>
      <c r="IP35" s="9"/>
      <c r="IQ35" s="9"/>
      <c r="IR35" s="9"/>
      <c r="IS35" s="9"/>
    </row>
    <row r="36" spans="1:253" s="3" customFormat="1" x14ac:dyDescent="0.25">
      <c r="B36" s="386"/>
      <c r="C36" s="384"/>
      <c r="D36" s="4"/>
      <c r="E36" s="4"/>
      <c r="F36" s="4"/>
      <c r="G36" s="4"/>
      <c r="H36" s="4"/>
      <c r="I36" s="4"/>
      <c r="J36" s="4"/>
      <c r="K36" s="4"/>
      <c r="L36" s="4"/>
      <c r="M36" s="4"/>
      <c r="N36" s="4"/>
      <c r="O36" s="4"/>
      <c r="P36" s="4"/>
      <c r="Q36" s="30">
        <v>2000</v>
      </c>
      <c r="R36" s="33">
        <v>2000</v>
      </c>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62"/>
      <c r="BF36" s="190" t="s">
        <v>211</v>
      </c>
      <c r="BG36" s="194">
        <f>+Q36</f>
        <v>2000</v>
      </c>
      <c r="BH36" s="223"/>
      <c r="BI36" s="228"/>
      <c r="BJ36" s="231"/>
      <c r="BK36" s="230"/>
      <c r="BL36" s="231"/>
      <c r="BM36" s="230"/>
      <c r="BN36" s="231"/>
      <c r="BO36" s="230"/>
      <c r="BP36" s="125"/>
      <c r="BQ36" s="67"/>
      <c r="BR36" s="125"/>
      <c r="BS36" s="67"/>
      <c r="BT36" s="125"/>
      <c r="BU36" s="210">
        <f>+BG36*$BG$1</f>
        <v>94000</v>
      </c>
      <c r="BV36" s="229"/>
      <c r="BW36" s="230"/>
      <c r="BX36" s="229"/>
      <c r="BY36" s="230"/>
      <c r="BZ36" s="229"/>
      <c r="CA36" s="230"/>
      <c r="CB36" s="229"/>
      <c r="CC36" s="230"/>
      <c r="CD36" s="229"/>
      <c r="CE36" s="228"/>
      <c r="CF36" s="63"/>
      <c r="CG36" s="181">
        <f t="shared" si="0"/>
        <v>94000</v>
      </c>
    </row>
    <row r="37" spans="1:253" s="3" customFormat="1" ht="35.25" customHeight="1" x14ac:dyDescent="0.25">
      <c r="A37" s="3">
        <v>18</v>
      </c>
      <c r="B37" s="385" t="s">
        <v>204</v>
      </c>
      <c r="C37" s="383" t="s">
        <v>97</v>
      </c>
      <c r="D37" s="4"/>
      <c r="E37" s="4"/>
      <c r="F37" s="4"/>
      <c r="G37" s="4"/>
      <c r="H37" s="4"/>
      <c r="I37" s="4"/>
      <c r="J37" s="4"/>
      <c r="K37" s="4"/>
      <c r="L37" s="4"/>
      <c r="M37" s="4"/>
      <c r="N37" s="23"/>
      <c r="O37" s="4"/>
      <c r="P37" s="4"/>
      <c r="Q37" s="181">
        <v>250</v>
      </c>
      <c r="R37" s="181">
        <v>350</v>
      </c>
      <c r="S37" s="14" t="s">
        <v>99</v>
      </c>
      <c r="T37" s="14"/>
      <c r="U37" s="14"/>
      <c r="V37" s="14"/>
      <c r="W37" s="10"/>
      <c r="X37" s="10"/>
      <c r="Y37" s="10"/>
      <c r="Z37" s="10"/>
      <c r="AA37" s="14"/>
      <c r="AB37" s="14"/>
      <c r="AC37" s="14"/>
      <c r="AD37" s="14"/>
      <c r="AE37" s="10">
        <v>4</v>
      </c>
      <c r="AF37" s="10">
        <v>4</v>
      </c>
      <c r="AG37" s="10">
        <v>4</v>
      </c>
      <c r="AH37" s="10">
        <v>4</v>
      </c>
      <c r="AI37" s="14">
        <v>4</v>
      </c>
      <c r="AJ37" s="14">
        <v>4</v>
      </c>
      <c r="AK37" s="14">
        <v>4</v>
      </c>
      <c r="AL37" s="15">
        <v>2</v>
      </c>
      <c r="AM37" s="10"/>
      <c r="AN37" s="10"/>
      <c r="AO37" s="10"/>
      <c r="AP37" s="10"/>
      <c r="AQ37" s="14"/>
      <c r="AR37" s="14"/>
      <c r="AS37" s="14"/>
      <c r="AT37" s="14"/>
      <c r="AU37" s="10"/>
      <c r="AV37" s="10"/>
      <c r="AW37" s="10"/>
      <c r="AX37" s="10"/>
      <c r="AY37" s="14"/>
      <c r="AZ37" s="14"/>
      <c r="BA37" s="14"/>
      <c r="BB37" s="14"/>
      <c r="BC37" s="10"/>
      <c r="BD37" s="10"/>
      <c r="BE37" s="22">
        <v>30</v>
      </c>
      <c r="BF37" s="189" t="s">
        <v>86</v>
      </c>
      <c r="BG37" s="249">
        <f>+R37</f>
        <v>350</v>
      </c>
      <c r="BH37" s="222"/>
      <c r="BI37" s="228"/>
      <c r="BJ37" s="229"/>
      <c r="BK37" s="230"/>
      <c r="BL37" s="229"/>
      <c r="BM37" s="230"/>
      <c r="BN37" s="74">
        <v>16</v>
      </c>
      <c r="BO37" s="233">
        <f>+R37*BN37</f>
        <v>5600</v>
      </c>
      <c r="BP37" s="74">
        <v>14</v>
      </c>
      <c r="BQ37" s="209">
        <f>+R37*BP37</f>
        <v>4900</v>
      </c>
      <c r="BR37" s="229"/>
      <c r="BS37" s="230"/>
      <c r="BT37" s="229"/>
      <c r="BU37" s="230"/>
      <c r="BV37" s="229"/>
      <c r="BW37" s="230"/>
      <c r="BX37" s="229"/>
      <c r="BY37" s="230"/>
      <c r="BZ37" s="229"/>
      <c r="CA37" s="230"/>
      <c r="CB37" s="229"/>
      <c r="CC37" s="230"/>
      <c r="CD37" s="229"/>
      <c r="CE37" s="228"/>
      <c r="CF37" s="64">
        <f>+BH37+BJ37+BL37+BN37+BP37+BR37+BT37+BV37+BX37+BZ37+CB37*4+CD37</f>
        <v>30</v>
      </c>
      <c r="CG37" s="181">
        <f t="shared" si="0"/>
        <v>10500</v>
      </c>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9"/>
      <c r="IK37" s="9"/>
      <c r="IL37" s="9"/>
      <c r="IM37" s="9"/>
      <c r="IN37" s="9"/>
      <c r="IO37" s="9"/>
      <c r="IP37" s="9"/>
      <c r="IQ37" s="9"/>
      <c r="IR37" s="9"/>
      <c r="IS37" s="9"/>
    </row>
    <row r="38" spans="1:253" s="3" customFormat="1" x14ac:dyDescent="0.25">
      <c r="B38" s="386"/>
      <c r="C38" s="384"/>
      <c r="D38" s="4"/>
      <c r="E38" s="4"/>
      <c r="F38" s="4"/>
      <c r="G38" s="4"/>
      <c r="H38" s="4"/>
      <c r="I38" s="4"/>
      <c r="J38" s="4"/>
      <c r="K38" s="4"/>
      <c r="L38" s="4"/>
      <c r="M38" s="4"/>
      <c r="N38" s="4"/>
      <c r="O38" s="4"/>
      <c r="P38" s="4"/>
      <c r="Q38" s="30">
        <v>580</v>
      </c>
      <c r="R38" s="33">
        <v>580</v>
      </c>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62"/>
      <c r="BF38" s="190" t="s">
        <v>211</v>
      </c>
      <c r="BG38" s="194">
        <f>+Q38</f>
        <v>580</v>
      </c>
      <c r="BH38" s="223"/>
      <c r="BI38" s="228"/>
      <c r="BJ38" s="231"/>
      <c r="BK38" s="230"/>
      <c r="BL38" s="231"/>
      <c r="BM38" s="230"/>
      <c r="BN38" s="125"/>
      <c r="BO38" s="67"/>
      <c r="BP38" s="125"/>
      <c r="BQ38" s="210">
        <f>+BG38*$BG$1</f>
        <v>27260</v>
      </c>
      <c r="BR38" s="229"/>
      <c r="BS38" s="230"/>
      <c r="BT38" s="229"/>
      <c r="BU38" s="230"/>
      <c r="BV38" s="229"/>
      <c r="BW38" s="230"/>
      <c r="BX38" s="229"/>
      <c r="BY38" s="230"/>
      <c r="BZ38" s="229"/>
      <c r="CA38" s="230"/>
      <c r="CB38" s="229"/>
      <c r="CC38" s="230"/>
      <c r="CD38" s="229"/>
      <c r="CE38" s="228"/>
      <c r="CF38" s="63"/>
      <c r="CG38" s="181">
        <f t="shared" si="0"/>
        <v>27260</v>
      </c>
    </row>
    <row r="39" spans="1:253" s="9" customFormat="1" ht="45.75" thickBot="1" x14ac:dyDescent="0.3">
      <c r="A39" s="3">
        <v>19</v>
      </c>
      <c r="B39" s="42" t="s">
        <v>101</v>
      </c>
      <c r="C39" s="10" t="s">
        <v>27</v>
      </c>
      <c r="D39" s="11"/>
      <c r="E39" s="11"/>
      <c r="F39" s="11"/>
      <c r="G39" s="7"/>
      <c r="H39" s="7"/>
      <c r="I39" s="7"/>
      <c r="J39" s="7"/>
      <c r="K39" s="7"/>
      <c r="L39" s="7"/>
      <c r="M39" s="7"/>
      <c r="N39" s="7"/>
      <c r="O39" s="7"/>
      <c r="P39" s="7"/>
      <c r="Q39" s="30">
        <v>0</v>
      </c>
      <c r="R39" s="30">
        <v>0</v>
      </c>
      <c r="S39" s="14"/>
      <c r="T39" s="14"/>
      <c r="U39" s="14"/>
      <c r="V39" s="14"/>
      <c r="W39" s="10"/>
      <c r="X39" s="10">
        <v>1</v>
      </c>
      <c r="Y39" s="10">
        <v>1</v>
      </c>
      <c r="Z39" s="10">
        <v>1</v>
      </c>
      <c r="AA39" s="14">
        <v>1</v>
      </c>
      <c r="AB39" s="14">
        <v>1</v>
      </c>
      <c r="AC39" s="14">
        <v>1</v>
      </c>
      <c r="AD39" s="14">
        <v>1</v>
      </c>
      <c r="AE39" s="10">
        <v>1</v>
      </c>
      <c r="AF39" s="10">
        <v>1</v>
      </c>
      <c r="AG39" s="10">
        <v>1</v>
      </c>
      <c r="AH39" s="10">
        <v>1</v>
      </c>
      <c r="AI39" s="14">
        <v>1</v>
      </c>
      <c r="AJ39" s="14">
        <v>1</v>
      </c>
      <c r="AK39" s="14">
        <v>1</v>
      </c>
      <c r="AL39" s="14">
        <v>1</v>
      </c>
      <c r="AM39" s="10">
        <v>1</v>
      </c>
      <c r="AN39" s="10">
        <v>1</v>
      </c>
      <c r="AO39" s="10">
        <v>1</v>
      </c>
      <c r="AP39" s="10">
        <v>1</v>
      </c>
      <c r="AQ39" s="14">
        <v>1</v>
      </c>
      <c r="AR39" s="14">
        <v>1</v>
      </c>
      <c r="AS39" s="14">
        <v>1</v>
      </c>
      <c r="AT39" s="14">
        <v>1</v>
      </c>
      <c r="AU39" s="10">
        <v>1</v>
      </c>
      <c r="AV39" s="10">
        <v>1</v>
      </c>
      <c r="AW39" s="10">
        <v>1</v>
      </c>
      <c r="AX39" s="10">
        <v>1</v>
      </c>
      <c r="AY39" s="14">
        <v>1</v>
      </c>
      <c r="AZ39" s="14">
        <v>1</v>
      </c>
      <c r="BA39" s="14">
        <v>1</v>
      </c>
      <c r="BB39" s="14">
        <v>1</v>
      </c>
      <c r="BC39" s="10">
        <v>1</v>
      </c>
      <c r="BD39" s="10">
        <v>1</v>
      </c>
      <c r="BE39" s="22">
        <v>33</v>
      </c>
      <c r="BF39" s="250" t="s">
        <v>221</v>
      </c>
      <c r="BG39" s="249">
        <f>+R39</f>
        <v>0</v>
      </c>
      <c r="BH39" s="222"/>
      <c r="BI39" s="228"/>
      <c r="BJ39" s="76">
        <v>3</v>
      </c>
      <c r="BK39" s="216">
        <f>+BI39*$BG$1</f>
        <v>0</v>
      </c>
      <c r="BL39" s="76">
        <v>4</v>
      </c>
      <c r="BM39" s="216">
        <f>+BK39*$BG$1</f>
        <v>0</v>
      </c>
      <c r="BN39" s="76">
        <v>4</v>
      </c>
      <c r="BO39" s="216">
        <f>+BM39*$BG$1</f>
        <v>0</v>
      </c>
      <c r="BP39" s="76">
        <v>4</v>
      </c>
      <c r="BQ39" s="216">
        <f>+BO39*$BG$1</f>
        <v>0</v>
      </c>
      <c r="BR39" s="76">
        <v>4</v>
      </c>
      <c r="BS39" s="216">
        <f>+BQ39*$BG$1</f>
        <v>0</v>
      </c>
      <c r="BT39" s="76">
        <v>4</v>
      </c>
      <c r="BU39" s="216">
        <f>+BS39*$BG$1</f>
        <v>0</v>
      </c>
      <c r="BV39" s="76">
        <v>4</v>
      </c>
      <c r="BW39" s="216">
        <f>+BU39*$BG$1</f>
        <v>0</v>
      </c>
      <c r="BX39" s="76">
        <v>4</v>
      </c>
      <c r="BY39" s="216">
        <f>+BW39*$BG$1</f>
        <v>0</v>
      </c>
      <c r="BZ39" s="76">
        <v>2</v>
      </c>
      <c r="CA39" s="216">
        <v>0</v>
      </c>
      <c r="CB39" s="76">
        <v>16</v>
      </c>
      <c r="CC39" s="216">
        <v>0</v>
      </c>
      <c r="CD39" s="76">
        <v>10</v>
      </c>
      <c r="CE39" s="256">
        <v>0</v>
      </c>
      <c r="CF39" s="64">
        <f>+BH39+BJ39+BL39+BN39+BP39+BR39+BT39+BV39+BX39+BZ39+CB39*4+CD39</f>
        <v>107</v>
      </c>
      <c r="CG39" s="181">
        <f t="shared" si="0"/>
        <v>0</v>
      </c>
    </row>
    <row r="40" spans="1:253" s="9" customFormat="1" ht="6" customHeight="1" thickBot="1" x14ac:dyDescent="0.3">
      <c r="B40" s="199"/>
      <c r="Q40" s="31"/>
      <c r="R40" s="31"/>
      <c r="BE40" s="16"/>
      <c r="BF40" s="39"/>
      <c r="BH40" s="204"/>
      <c r="BI40" s="212"/>
      <c r="BJ40" s="204"/>
      <c r="BK40" s="212"/>
      <c r="BL40" s="204"/>
      <c r="BM40" s="212"/>
      <c r="BN40" s="204"/>
      <c r="BO40" s="204"/>
      <c r="BP40" s="193"/>
      <c r="BQ40" s="193"/>
      <c r="BR40" s="204"/>
      <c r="BS40" s="204"/>
      <c r="BT40" s="204"/>
      <c r="BU40" s="204"/>
      <c r="BV40" s="204"/>
      <c r="BW40" s="204"/>
      <c r="BX40" s="204"/>
      <c r="BY40" s="204"/>
      <c r="BZ40" s="204"/>
      <c r="CA40" s="204"/>
      <c r="CB40" s="204"/>
      <c r="CC40" s="204"/>
      <c r="CD40" s="204"/>
      <c r="CE40" s="246"/>
      <c r="CF40" s="64"/>
      <c r="CG40" s="181"/>
    </row>
    <row r="41" spans="1:253" s="9" customFormat="1" x14ac:dyDescent="0.25">
      <c r="A41" s="9">
        <v>20</v>
      </c>
      <c r="B41" s="200" t="s">
        <v>100</v>
      </c>
      <c r="C41" s="10" t="s">
        <v>27</v>
      </c>
      <c r="D41" s="10"/>
      <c r="E41" s="7"/>
      <c r="F41" s="7"/>
      <c r="G41" s="7"/>
      <c r="H41" s="7"/>
      <c r="I41" s="7"/>
      <c r="J41" s="7"/>
      <c r="K41" s="7"/>
      <c r="L41" s="7"/>
      <c r="M41" s="7"/>
      <c r="N41" s="7"/>
      <c r="O41" s="7"/>
      <c r="P41" s="7"/>
      <c r="Q41" s="30">
        <v>0</v>
      </c>
      <c r="R41" s="30">
        <v>0</v>
      </c>
      <c r="S41" s="12"/>
      <c r="T41" s="12"/>
      <c r="U41" s="12">
        <v>1</v>
      </c>
      <c r="V41" s="12">
        <v>1</v>
      </c>
      <c r="W41" s="12">
        <v>1</v>
      </c>
      <c r="X41" s="12">
        <v>1</v>
      </c>
      <c r="Y41" s="12">
        <v>1</v>
      </c>
      <c r="Z41" s="12">
        <v>1</v>
      </c>
      <c r="AA41" s="12">
        <v>1</v>
      </c>
      <c r="AB41" s="12">
        <v>1</v>
      </c>
      <c r="AC41" s="12">
        <v>1</v>
      </c>
      <c r="AD41" s="12">
        <v>1</v>
      </c>
      <c r="AE41" s="12">
        <v>1</v>
      </c>
      <c r="AF41" s="12">
        <v>1</v>
      </c>
      <c r="AG41" s="12">
        <v>1</v>
      </c>
      <c r="AH41" s="12">
        <v>1</v>
      </c>
      <c r="AI41" s="12">
        <v>1</v>
      </c>
      <c r="AJ41" s="12">
        <v>1</v>
      </c>
      <c r="AK41" s="12">
        <v>1</v>
      </c>
      <c r="AL41" s="12">
        <v>1</v>
      </c>
      <c r="AM41" s="12">
        <v>1</v>
      </c>
      <c r="AN41" s="12">
        <v>1</v>
      </c>
      <c r="AO41" s="12">
        <v>1</v>
      </c>
      <c r="AP41" s="12">
        <v>1</v>
      </c>
      <c r="AQ41" s="12">
        <v>1</v>
      </c>
      <c r="AR41" s="12">
        <v>1</v>
      </c>
      <c r="AS41" s="12">
        <v>1</v>
      </c>
      <c r="AT41" s="12">
        <v>1</v>
      </c>
      <c r="AU41" s="12">
        <v>1</v>
      </c>
      <c r="AV41" s="12">
        <v>1</v>
      </c>
      <c r="AW41" s="12">
        <v>1</v>
      </c>
      <c r="AX41" s="12">
        <v>1</v>
      </c>
      <c r="AY41" s="12">
        <v>1</v>
      </c>
      <c r="AZ41" s="12">
        <v>1</v>
      </c>
      <c r="BA41" s="12">
        <v>1</v>
      </c>
      <c r="BB41" s="12">
        <v>1</v>
      </c>
      <c r="BC41" s="12">
        <v>1</v>
      </c>
      <c r="BD41" s="12">
        <v>1</v>
      </c>
      <c r="BE41" s="22">
        <v>36</v>
      </c>
      <c r="BF41" s="180" t="s">
        <v>100</v>
      </c>
      <c r="BG41" s="249">
        <f>+R41</f>
        <v>0</v>
      </c>
      <c r="BH41" s="213">
        <v>2</v>
      </c>
      <c r="BI41" s="214">
        <f>+BG41*$BG$1</f>
        <v>0</v>
      </c>
      <c r="BJ41" s="213">
        <v>4</v>
      </c>
      <c r="BK41" s="214">
        <f>+BI41*$BG$1</f>
        <v>0</v>
      </c>
      <c r="BL41" s="213">
        <v>4</v>
      </c>
      <c r="BM41" s="214">
        <f>+BK41*$BG$1</f>
        <v>0</v>
      </c>
      <c r="BN41" s="213">
        <v>4</v>
      </c>
      <c r="BO41" s="214">
        <f>+BM41*$BG$1</f>
        <v>0</v>
      </c>
      <c r="BP41" s="100">
        <v>4</v>
      </c>
      <c r="BQ41" s="244">
        <f>+BO41*$BG$1</f>
        <v>0</v>
      </c>
      <c r="BR41" s="213">
        <v>4</v>
      </c>
      <c r="BS41" s="214">
        <f>+BQ41*$BG$1</f>
        <v>0</v>
      </c>
      <c r="BT41" s="213">
        <v>4</v>
      </c>
      <c r="BU41" s="214">
        <f>+BS41*$BG$1</f>
        <v>0</v>
      </c>
      <c r="BV41" s="213">
        <v>4</v>
      </c>
      <c r="BW41" s="214">
        <f>+BU41*$BG$1</f>
        <v>0</v>
      </c>
      <c r="BX41" s="213">
        <v>4</v>
      </c>
      <c r="BY41" s="214">
        <f>+BW41*$BG$1</f>
        <v>0</v>
      </c>
      <c r="BZ41" s="213">
        <v>2</v>
      </c>
      <c r="CA41" s="214">
        <v>0</v>
      </c>
      <c r="CB41" s="213">
        <v>4</v>
      </c>
      <c r="CC41" s="214">
        <v>0</v>
      </c>
      <c r="CD41" s="213">
        <v>3</v>
      </c>
      <c r="CE41" s="257">
        <v>0</v>
      </c>
      <c r="CF41" s="64">
        <f>+BH41+BJ41+BL41+BN41+BP41+BR41+BT41+BV41+BX41+BZ41+CB41*4+CD41</f>
        <v>55</v>
      </c>
      <c r="CG41" s="181">
        <f t="shared" si="0"/>
        <v>0</v>
      </c>
    </row>
    <row r="42" spans="1:253" s="9" customFormat="1" x14ac:dyDescent="0.25">
      <c r="A42" s="9">
        <v>21</v>
      </c>
      <c r="B42" s="201" t="s">
        <v>102</v>
      </c>
      <c r="C42" s="10" t="s">
        <v>27</v>
      </c>
      <c r="D42" s="10"/>
      <c r="E42" s="7"/>
      <c r="F42" s="7"/>
      <c r="G42" s="7"/>
      <c r="H42" s="7"/>
      <c r="I42" s="7"/>
      <c r="J42" s="7"/>
      <c r="K42" s="7"/>
      <c r="L42" s="7"/>
      <c r="M42" s="7"/>
      <c r="N42" s="7"/>
      <c r="O42" s="7"/>
      <c r="P42" s="7"/>
      <c r="Q42" s="30">
        <v>0</v>
      </c>
      <c r="R42" s="30">
        <v>0</v>
      </c>
      <c r="S42" s="12"/>
      <c r="T42" s="12"/>
      <c r="U42" s="12">
        <v>1</v>
      </c>
      <c r="V42" s="12">
        <v>1</v>
      </c>
      <c r="W42" s="12">
        <v>1</v>
      </c>
      <c r="X42" s="12">
        <v>1</v>
      </c>
      <c r="Y42" s="12">
        <v>1</v>
      </c>
      <c r="Z42" s="12">
        <v>1</v>
      </c>
      <c r="AA42" s="12">
        <v>1</v>
      </c>
      <c r="AB42" s="12">
        <v>1</v>
      </c>
      <c r="AC42" s="12">
        <v>1</v>
      </c>
      <c r="AD42" s="12">
        <v>1</v>
      </c>
      <c r="AE42" s="12">
        <v>1</v>
      </c>
      <c r="AF42" s="12">
        <v>1</v>
      </c>
      <c r="AG42" s="12">
        <v>1</v>
      </c>
      <c r="AH42" s="12">
        <v>1</v>
      </c>
      <c r="AI42" s="12">
        <v>1</v>
      </c>
      <c r="AJ42" s="12">
        <v>1</v>
      </c>
      <c r="AK42" s="12">
        <v>1</v>
      </c>
      <c r="AL42" s="12">
        <v>1</v>
      </c>
      <c r="AM42" s="12">
        <v>1</v>
      </c>
      <c r="AN42" s="12">
        <v>1</v>
      </c>
      <c r="AO42" s="12">
        <v>1</v>
      </c>
      <c r="AP42" s="12">
        <v>1</v>
      </c>
      <c r="AQ42" s="12">
        <v>1</v>
      </c>
      <c r="AR42" s="12">
        <v>1</v>
      </c>
      <c r="AS42" s="12">
        <v>1</v>
      </c>
      <c r="AT42" s="12">
        <v>1</v>
      </c>
      <c r="AU42" s="12">
        <v>1</v>
      </c>
      <c r="AV42" s="12">
        <v>1</v>
      </c>
      <c r="AW42" s="12">
        <v>1</v>
      </c>
      <c r="AX42" s="12">
        <v>1</v>
      </c>
      <c r="AY42" s="12">
        <v>1</v>
      </c>
      <c r="AZ42" s="12">
        <v>1</v>
      </c>
      <c r="BA42" s="12">
        <v>1</v>
      </c>
      <c r="BB42" s="12">
        <v>1</v>
      </c>
      <c r="BC42" s="12">
        <v>1</v>
      </c>
      <c r="BD42" s="12">
        <v>1</v>
      </c>
      <c r="BE42" s="22">
        <v>36</v>
      </c>
      <c r="BF42" s="180" t="s">
        <v>102</v>
      </c>
      <c r="BG42" s="249">
        <f>+R42</f>
        <v>0</v>
      </c>
      <c r="BH42" s="74">
        <v>2</v>
      </c>
      <c r="BI42" s="215">
        <f>+BG42*$BG$1</f>
        <v>0</v>
      </c>
      <c r="BJ42" s="74">
        <v>4</v>
      </c>
      <c r="BK42" s="215">
        <f>+BI42*$BG$1</f>
        <v>0</v>
      </c>
      <c r="BL42" s="74">
        <v>4</v>
      </c>
      <c r="BM42" s="215">
        <f>+BK42*$BG$1</f>
        <v>0</v>
      </c>
      <c r="BN42" s="74">
        <v>4</v>
      </c>
      <c r="BO42" s="215">
        <f>+BM42*$BG$1</f>
        <v>0</v>
      </c>
      <c r="BP42" s="100">
        <v>4</v>
      </c>
      <c r="BQ42" s="244">
        <f>+BO42*$BG$1</f>
        <v>0</v>
      </c>
      <c r="BR42" s="74">
        <v>4</v>
      </c>
      <c r="BS42" s="215">
        <f>+BQ42*$BG$1</f>
        <v>0</v>
      </c>
      <c r="BT42" s="74">
        <v>4</v>
      </c>
      <c r="BU42" s="215">
        <f>+BS42*$BG$1</f>
        <v>0</v>
      </c>
      <c r="BV42" s="74">
        <v>4</v>
      </c>
      <c r="BW42" s="215">
        <f>+BU42*$BG$1</f>
        <v>0</v>
      </c>
      <c r="BX42" s="74">
        <v>4</v>
      </c>
      <c r="BY42" s="215">
        <f>+BW42*$BG$1</f>
        <v>0</v>
      </c>
      <c r="BZ42" s="74">
        <v>2</v>
      </c>
      <c r="CA42" s="215">
        <v>0</v>
      </c>
      <c r="CB42" s="74">
        <v>4</v>
      </c>
      <c r="CC42" s="215">
        <v>0</v>
      </c>
      <c r="CD42" s="74">
        <v>3</v>
      </c>
      <c r="CE42" s="244">
        <v>0</v>
      </c>
      <c r="CF42" s="64">
        <f>+BH42+BJ42+BL42+BN42+BP42+BR42+BT42+BV42+BX42+BZ42+CB42*4+CD42</f>
        <v>55</v>
      </c>
      <c r="CG42" s="181">
        <f t="shared" si="0"/>
        <v>0</v>
      </c>
    </row>
    <row r="43" spans="1:253" s="9" customFormat="1" ht="15.75" thickBot="1" x14ac:dyDescent="0.3">
      <c r="A43" s="9">
        <v>22</v>
      </c>
      <c r="B43" s="202" t="s">
        <v>83</v>
      </c>
      <c r="C43" s="10" t="s">
        <v>27</v>
      </c>
      <c r="D43" s="10"/>
      <c r="E43" s="7"/>
      <c r="F43" s="7"/>
      <c r="G43" s="7"/>
      <c r="H43" s="7"/>
      <c r="I43" s="7"/>
      <c r="J43" s="7"/>
      <c r="K43" s="7"/>
      <c r="L43" s="7"/>
      <c r="M43" s="7"/>
      <c r="N43" s="7"/>
      <c r="O43" s="7"/>
      <c r="P43" s="7"/>
      <c r="Q43" s="181">
        <v>250</v>
      </c>
      <c r="R43" s="181">
        <v>250</v>
      </c>
      <c r="S43" s="12"/>
      <c r="T43" s="12"/>
      <c r="U43" s="12"/>
      <c r="V43" s="12"/>
      <c r="W43" s="12"/>
      <c r="X43" s="12">
        <v>6</v>
      </c>
      <c r="Y43" s="12">
        <v>12</v>
      </c>
      <c r="Z43" s="12">
        <v>12</v>
      </c>
      <c r="AA43" s="12">
        <v>12</v>
      </c>
      <c r="AB43" s="12">
        <v>12</v>
      </c>
      <c r="AC43" s="12">
        <v>12</v>
      </c>
      <c r="AD43" s="12">
        <v>12</v>
      </c>
      <c r="AE43" s="12">
        <v>12</v>
      </c>
      <c r="AF43" s="12">
        <v>12</v>
      </c>
      <c r="AG43" s="12">
        <v>12</v>
      </c>
      <c r="AH43" s="12">
        <v>12</v>
      </c>
      <c r="AI43" s="12">
        <v>12</v>
      </c>
      <c r="AJ43" s="12">
        <v>12</v>
      </c>
      <c r="AK43" s="12">
        <v>12</v>
      </c>
      <c r="AL43" s="12">
        <v>12</v>
      </c>
      <c r="AM43" s="12">
        <v>12</v>
      </c>
      <c r="AN43" s="12">
        <v>12</v>
      </c>
      <c r="AO43" s="12">
        <v>12</v>
      </c>
      <c r="AP43" s="12">
        <v>12</v>
      </c>
      <c r="AQ43" s="12">
        <v>12</v>
      </c>
      <c r="AR43" s="12">
        <v>12</v>
      </c>
      <c r="AS43" s="12">
        <v>12</v>
      </c>
      <c r="AT43" s="12">
        <v>12</v>
      </c>
      <c r="AU43" s="12">
        <v>12</v>
      </c>
      <c r="AV43" s="12">
        <v>16</v>
      </c>
      <c r="AW43" s="12">
        <v>16</v>
      </c>
      <c r="AX43" s="12">
        <v>16</v>
      </c>
      <c r="AY43" s="12">
        <v>16</v>
      </c>
      <c r="AZ43" s="12">
        <v>16</v>
      </c>
      <c r="BA43" s="12">
        <v>16</v>
      </c>
      <c r="BB43" s="12">
        <v>16</v>
      </c>
      <c r="BC43" s="12">
        <v>8</v>
      </c>
      <c r="BD43" s="12">
        <v>8</v>
      </c>
      <c r="BE43" s="22">
        <v>410</v>
      </c>
      <c r="BF43" s="180" t="s">
        <v>83</v>
      </c>
      <c r="BG43" s="249">
        <f>+R43</f>
        <v>250</v>
      </c>
      <c r="BH43" s="76">
        <v>0</v>
      </c>
      <c r="BI43" s="216">
        <f>+R43*BH43</f>
        <v>0</v>
      </c>
      <c r="BJ43" s="76">
        <v>30</v>
      </c>
      <c r="BK43" s="235">
        <f>+$R43*BJ43</f>
        <v>7500</v>
      </c>
      <c r="BL43" s="76">
        <v>48</v>
      </c>
      <c r="BM43" s="235">
        <f>+$R43*BL43</f>
        <v>12000</v>
      </c>
      <c r="BN43" s="76">
        <v>48</v>
      </c>
      <c r="BO43" s="235">
        <f>+$R43*BN43</f>
        <v>12000</v>
      </c>
      <c r="BP43" s="100">
        <v>48</v>
      </c>
      <c r="BQ43" s="245">
        <f>+$R43*BP43</f>
        <v>12000</v>
      </c>
      <c r="BR43" s="76">
        <v>48</v>
      </c>
      <c r="BS43" s="235">
        <f>+$R43*BR43</f>
        <v>12000</v>
      </c>
      <c r="BT43" s="76">
        <v>48</v>
      </c>
      <c r="BU43" s="235">
        <f>+$R43*BT43</f>
        <v>12000</v>
      </c>
      <c r="BV43" s="76">
        <v>60</v>
      </c>
      <c r="BW43" s="235">
        <f>+$R43*BV43</f>
        <v>15000</v>
      </c>
      <c r="BX43" s="76">
        <v>64</v>
      </c>
      <c r="BY43" s="235">
        <f>+$R43*BX43</f>
        <v>16000</v>
      </c>
      <c r="BZ43" s="76">
        <v>16</v>
      </c>
      <c r="CA43" s="235">
        <f>+$R43*BZ43</f>
        <v>4000</v>
      </c>
      <c r="CB43" s="76">
        <v>88</v>
      </c>
      <c r="CC43" s="235">
        <f>+$R43*CB43</f>
        <v>22000</v>
      </c>
      <c r="CD43" s="76">
        <v>66</v>
      </c>
      <c r="CE43" s="258">
        <f>+$R43*CD43</f>
        <v>16500</v>
      </c>
      <c r="CF43" s="64">
        <f>+BH43+BJ43+BL43+BN43+BP43+BR43+BT43+BV43+BX43+BZ43+CB43*4+CD43</f>
        <v>828</v>
      </c>
      <c r="CG43" s="181">
        <f t="shared" si="0"/>
        <v>207000</v>
      </c>
    </row>
    <row r="44" spans="1:253" s="9" customFormat="1" ht="5.25" customHeight="1" thickBot="1" x14ac:dyDescent="0.3">
      <c r="B44" s="199"/>
      <c r="Q44" s="31"/>
      <c r="R44" s="31"/>
      <c r="BE44" s="16"/>
      <c r="BF44" s="39"/>
      <c r="BH44" s="204"/>
      <c r="BI44" s="212"/>
      <c r="BJ44" s="204"/>
      <c r="BK44" s="212"/>
      <c r="BL44" s="204"/>
      <c r="BM44" s="212"/>
      <c r="BN44" s="204"/>
      <c r="BO44" s="204"/>
      <c r="BP44" s="192"/>
      <c r="BQ44" s="192"/>
      <c r="BR44" s="204"/>
      <c r="BS44" s="246"/>
      <c r="BT44" s="213"/>
      <c r="BU44" s="242"/>
      <c r="BV44" s="247"/>
      <c r="BW44" s="204"/>
      <c r="BX44" s="204"/>
      <c r="BY44" s="204"/>
      <c r="BZ44" s="204"/>
      <c r="CA44" s="204"/>
      <c r="CB44" s="204"/>
      <c r="CC44" s="204"/>
      <c r="CD44" s="204"/>
      <c r="CE44" s="246"/>
      <c r="CF44" s="64"/>
      <c r="CG44" s="181"/>
    </row>
    <row r="45" spans="1:253" s="9" customFormat="1" ht="15.75" thickBot="1" x14ac:dyDescent="0.3">
      <c r="A45" s="9">
        <v>23</v>
      </c>
      <c r="B45" s="203" t="s">
        <v>82</v>
      </c>
      <c r="C45" s="13"/>
      <c r="D45" s="13"/>
      <c r="E45" s="13"/>
      <c r="F45" s="13"/>
      <c r="G45" s="13"/>
      <c r="H45" s="13"/>
      <c r="I45" s="13"/>
      <c r="J45" s="13"/>
      <c r="K45" s="13"/>
      <c r="L45" s="13"/>
      <c r="M45" s="13"/>
      <c r="N45" s="13"/>
      <c r="O45" s="13"/>
      <c r="P45" s="13"/>
      <c r="Q45" s="30"/>
      <c r="R45" s="30"/>
      <c r="S45" s="10"/>
      <c r="T45" s="10"/>
      <c r="U45" s="10"/>
      <c r="V45" s="10"/>
      <c r="W45" s="10"/>
      <c r="X45" s="10"/>
      <c r="Y45" s="10"/>
      <c r="Z45" s="10">
        <v>2</v>
      </c>
      <c r="AA45" s="10"/>
      <c r="AB45" s="10"/>
      <c r="AC45" s="10"/>
      <c r="AD45" s="10"/>
      <c r="AE45" s="10"/>
      <c r="AF45" s="10"/>
      <c r="AG45" s="10"/>
      <c r="AH45" s="10">
        <v>2</v>
      </c>
      <c r="AI45" s="10"/>
      <c r="AJ45" s="10"/>
      <c r="AK45" s="10"/>
      <c r="AL45" s="10"/>
      <c r="AM45" s="10"/>
      <c r="AN45" s="10"/>
      <c r="AO45" s="10"/>
      <c r="AP45" s="10">
        <v>2</v>
      </c>
      <c r="AQ45" s="10"/>
      <c r="AR45" s="10"/>
      <c r="AS45" s="10"/>
      <c r="AT45" s="10"/>
      <c r="AU45" s="10"/>
      <c r="AV45" s="10"/>
      <c r="AW45" s="10"/>
      <c r="AX45" s="10">
        <v>2</v>
      </c>
      <c r="AY45" s="10"/>
      <c r="AZ45" s="10"/>
      <c r="BA45" s="10"/>
      <c r="BB45" s="10"/>
      <c r="BC45" s="10"/>
      <c r="BD45" s="10">
        <v>2</v>
      </c>
      <c r="BE45" s="22">
        <v>10</v>
      </c>
      <c r="BF45" s="180" t="s">
        <v>82</v>
      </c>
      <c r="BG45" s="249">
        <f>+R45</f>
        <v>0</v>
      </c>
      <c r="BH45" s="217"/>
      <c r="BI45" s="218"/>
      <c r="BJ45" s="219">
        <v>2</v>
      </c>
      <c r="BK45" s="220">
        <f>+BI45*$BG$1</f>
        <v>0</v>
      </c>
      <c r="BL45" s="217"/>
      <c r="BM45" s="218"/>
      <c r="BN45" s="219">
        <v>2</v>
      </c>
      <c r="BO45" s="220">
        <f>+BM45*$BG$1</f>
        <v>0</v>
      </c>
      <c r="BP45" s="219"/>
      <c r="BQ45" s="239"/>
      <c r="BR45" s="219">
        <v>2</v>
      </c>
      <c r="BS45" s="241">
        <f>+BQ45*$BG$1</f>
        <v>0</v>
      </c>
      <c r="BT45" s="76"/>
      <c r="BU45" s="243"/>
      <c r="BV45" s="219">
        <v>2</v>
      </c>
      <c r="BW45" s="220">
        <f>+BU45*$BG$1</f>
        <v>0</v>
      </c>
      <c r="BX45" s="219"/>
      <c r="BY45" s="239"/>
      <c r="BZ45" s="219">
        <v>2</v>
      </c>
      <c r="CA45" s="220">
        <v>0</v>
      </c>
      <c r="CB45" s="219">
        <v>4</v>
      </c>
      <c r="CC45" s="220">
        <v>0</v>
      </c>
      <c r="CD45" s="219">
        <v>4</v>
      </c>
      <c r="CE45" s="241">
        <v>0</v>
      </c>
      <c r="CF45" s="64">
        <f>+BH45+BJ45+BL45+BN45+BP45+BR45+BT45+BV45+BX45+BZ45+CB45*4+CD45</f>
        <v>30</v>
      </c>
      <c r="CG45" s="181">
        <f t="shared" si="0"/>
        <v>0</v>
      </c>
    </row>
    <row r="46" spans="1:253" s="9" customFormat="1" ht="5.25" customHeight="1" thickBot="1" x14ac:dyDescent="0.3">
      <c r="B46" s="199"/>
      <c r="Q46" s="31"/>
      <c r="R46" s="31"/>
      <c r="BE46" s="16"/>
      <c r="BF46" s="39"/>
      <c r="BH46" s="204"/>
      <c r="BI46" s="212"/>
      <c r="BJ46" s="204"/>
      <c r="BK46" s="212"/>
      <c r="BL46" s="204"/>
      <c r="BM46" s="212"/>
      <c r="BN46" s="204"/>
      <c r="BO46" s="204"/>
      <c r="BP46" s="204"/>
      <c r="BQ46" s="204"/>
      <c r="BR46" s="204"/>
      <c r="BS46" s="204"/>
      <c r="BT46" s="204"/>
      <c r="BU46" s="204"/>
      <c r="BV46" s="204"/>
      <c r="BW46" s="204"/>
      <c r="BX46" s="204"/>
      <c r="BY46" s="204"/>
      <c r="BZ46" s="204"/>
      <c r="CA46" s="204"/>
      <c r="CB46" s="204"/>
      <c r="CC46" s="204"/>
      <c r="CD46" s="204"/>
      <c r="CE46" s="246"/>
      <c r="CF46" s="64"/>
      <c r="CG46" s="181"/>
    </row>
    <row r="47" spans="1:253" s="9" customFormat="1" ht="105.75" thickBot="1" x14ac:dyDescent="0.3">
      <c r="A47" s="9">
        <v>24</v>
      </c>
      <c r="B47" s="178" t="s">
        <v>98</v>
      </c>
      <c r="C47" s="10" t="s">
        <v>27</v>
      </c>
      <c r="D47" s="10"/>
      <c r="E47" s="10"/>
      <c r="F47" s="10"/>
      <c r="G47" s="10"/>
      <c r="H47" s="10"/>
      <c r="I47" s="10"/>
      <c r="J47" s="10"/>
      <c r="K47" s="10"/>
      <c r="L47" s="10"/>
      <c r="M47" s="10"/>
      <c r="N47" s="10"/>
      <c r="O47" s="10"/>
      <c r="P47" s="10"/>
      <c r="Q47" s="30">
        <v>0</v>
      </c>
      <c r="R47" s="30">
        <v>0</v>
      </c>
      <c r="S47" s="14">
        <v>1</v>
      </c>
      <c r="T47" s="14">
        <v>2</v>
      </c>
      <c r="U47" s="10">
        <v>0</v>
      </c>
      <c r="V47" s="10">
        <v>0</v>
      </c>
      <c r="W47" s="10">
        <v>0</v>
      </c>
      <c r="X47" s="10">
        <v>1</v>
      </c>
      <c r="Y47" s="10">
        <v>1</v>
      </c>
      <c r="Z47" s="10">
        <v>5</v>
      </c>
      <c r="AA47" s="10">
        <v>1</v>
      </c>
      <c r="AB47" s="10">
        <v>1</v>
      </c>
      <c r="AC47" s="10">
        <v>1</v>
      </c>
      <c r="AD47" s="10">
        <v>3</v>
      </c>
      <c r="AE47" s="10">
        <v>2</v>
      </c>
      <c r="AF47" s="10">
        <v>3</v>
      </c>
      <c r="AG47" s="10">
        <v>3</v>
      </c>
      <c r="AH47" s="10">
        <v>1</v>
      </c>
      <c r="AI47" s="10">
        <v>3</v>
      </c>
      <c r="AJ47" s="10">
        <v>3</v>
      </c>
      <c r="AK47" s="10">
        <v>3</v>
      </c>
      <c r="AL47" s="10">
        <v>1</v>
      </c>
      <c r="AM47" s="10">
        <v>3</v>
      </c>
      <c r="AN47" s="10">
        <v>3</v>
      </c>
      <c r="AO47" s="10">
        <v>1</v>
      </c>
      <c r="AP47" s="10">
        <v>5</v>
      </c>
      <c r="AQ47" s="10">
        <v>6</v>
      </c>
      <c r="AR47" s="10">
        <v>1</v>
      </c>
      <c r="AS47" s="10">
        <v>3</v>
      </c>
      <c r="AT47" s="10">
        <v>5</v>
      </c>
      <c r="AU47" s="10">
        <v>3</v>
      </c>
      <c r="AV47" s="10">
        <v>3</v>
      </c>
      <c r="AW47" s="10">
        <v>3</v>
      </c>
      <c r="AX47" s="10">
        <v>1</v>
      </c>
      <c r="AY47" s="10">
        <v>3</v>
      </c>
      <c r="AZ47" s="10">
        <v>3</v>
      </c>
      <c r="BA47" s="10">
        <v>3</v>
      </c>
      <c r="BB47" s="10">
        <v>1</v>
      </c>
      <c r="BC47" s="10">
        <v>8</v>
      </c>
      <c r="BD47" s="10">
        <v>7</v>
      </c>
      <c r="BE47" s="22">
        <v>97</v>
      </c>
      <c r="BF47" s="251" t="s">
        <v>216</v>
      </c>
      <c r="BG47" s="249">
        <f>+R47</f>
        <v>0</v>
      </c>
      <c r="BH47" s="219">
        <v>3</v>
      </c>
      <c r="BI47" s="220">
        <v>0</v>
      </c>
      <c r="BJ47" s="213">
        <v>7</v>
      </c>
      <c r="BK47" s="214">
        <v>0</v>
      </c>
      <c r="BL47" s="219">
        <v>6</v>
      </c>
      <c r="BM47" s="220">
        <v>0</v>
      </c>
      <c r="BN47" s="213">
        <v>9</v>
      </c>
      <c r="BO47" s="214">
        <f>+BM47*$BG$1</f>
        <v>0</v>
      </c>
      <c r="BP47" s="213">
        <v>10</v>
      </c>
      <c r="BQ47" s="214">
        <f>+BO47*$BG$1</f>
        <v>0</v>
      </c>
      <c r="BR47" s="213">
        <v>12</v>
      </c>
      <c r="BS47" s="214">
        <f>+BQ47*$BG$1</f>
        <v>0</v>
      </c>
      <c r="BT47" s="213">
        <v>15</v>
      </c>
      <c r="BU47" s="214">
        <f>+BS47*$BG$1</f>
        <v>0</v>
      </c>
      <c r="BV47" s="213">
        <v>10</v>
      </c>
      <c r="BW47" s="214">
        <f>+BU47*$BG$1</f>
        <v>0</v>
      </c>
      <c r="BX47" s="213">
        <v>10</v>
      </c>
      <c r="BY47" s="214">
        <f>+BW47*$BG$1</f>
        <v>0</v>
      </c>
      <c r="BZ47" s="213">
        <v>9</v>
      </c>
      <c r="CA47" s="214">
        <v>0</v>
      </c>
      <c r="CB47" s="213">
        <v>16</v>
      </c>
      <c r="CC47" s="214">
        <v>0</v>
      </c>
      <c r="CD47" s="213">
        <v>12</v>
      </c>
      <c r="CE47" s="257">
        <v>0</v>
      </c>
      <c r="CF47" s="240">
        <f>+BH47+BJ47+BL47+BN47+BP47+BR47+BT47+BV47+BX47+BZ47+CB47*4+CD47</f>
        <v>167</v>
      </c>
      <c r="CG47" s="181">
        <f t="shared" si="0"/>
        <v>0</v>
      </c>
    </row>
    <row r="48" spans="1:253" s="3" customFormat="1" ht="16.5" thickBot="1" x14ac:dyDescent="0.3">
      <c r="C48" s="9"/>
      <c r="Q48" s="32"/>
      <c r="R48" s="32"/>
      <c r="S48" s="10">
        <f t="shared" ref="S48:BD48" si="2">SUM(S3:S47)</f>
        <v>35</v>
      </c>
      <c r="T48" s="10">
        <f t="shared" si="2"/>
        <v>35</v>
      </c>
      <c r="U48" s="10">
        <f t="shared" si="2"/>
        <v>35</v>
      </c>
      <c r="V48" s="10">
        <f t="shared" si="2"/>
        <v>35</v>
      </c>
      <c r="W48" s="10">
        <f t="shared" si="2"/>
        <v>35</v>
      </c>
      <c r="X48" s="10">
        <f t="shared" si="2"/>
        <v>35</v>
      </c>
      <c r="Y48" s="10">
        <f t="shared" si="2"/>
        <v>35</v>
      </c>
      <c r="Z48" s="10">
        <f t="shared" si="2"/>
        <v>35</v>
      </c>
      <c r="AA48" s="10">
        <f t="shared" si="2"/>
        <v>35</v>
      </c>
      <c r="AB48" s="10">
        <f t="shared" si="2"/>
        <v>35</v>
      </c>
      <c r="AC48" s="10">
        <f t="shared" si="2"/>
        <v>35</v>
      </c>
      <c r="AD48" s="10">
        <f t="shared" si="2"/>
        <v>35</v>
      </c>
      <c r="AE48" s="10">
        <f t="shared" si="2"/>
        <v>35</v>
      </c>
      <c r="AF48" s="10">
        <f t="shared" si="2"/>
        <v>35</v>
      </c>
      <c r="AG48" s="10">
        <f t="shared" si="2"/>
        <v>35</v>
      </c>
      <c r="AH48" s="10">
        <f t="shared" si="2"/>
        <v>35</v>
      </c>
      <c r="AI48" s="10">
        <f t="shared" si="2"/>
        <v>35</v>
      </c>
      <c r="AJ48" s="10">
        <f t="shared" si="2"/>
        <v>35</v>
      </c>
      <c r="AK48" s="10">
        <f t="shared" si="2"/>
        <v>35</v>
      </c>
      <c r="AL48" s="10">
        <f t="shared" si="2"/>
        <v>35</v>
      </c>
      <c r="AM48" s="10">
        <f t="shared" si="2"/>
        <v>35</v>
      </c>
      <c r="AN48" s="10">
        <f t="shared" si="2"/>
        <v>35</v>
      </c>
      <c r="AO48" s="10">
        <f t="shared" si="2"/>
        <v>35</v>
      </c>
      <c r="AP48" s="10">
        <f t="shared" si="2"/>
        <v>35</v>
      </c>
      <c r="AQ48" s="10">
        <f t="shared" si="2"/>
        <v>35</v>
      </c>
      <c r="AR48" s="10">
        <f t="shared" si="2"/>
        <v>35</v>
      </c>
      <c r="AS48" s="10">
        <f t="shared" si="2"/>
        <v>35</v>
      </c>
      <c r="AT48" s="10">
        <f t="shared" si="2"/>
        <v>35</v>
      </c>
      <c r="AU48" s="10">
        <f t="shared" si="2"/>
        <v>35</v>
      </c>
      <c r="AV48" s="10">
        <f t="shared" si="2"/>
        <v>35</v>
      </c>
      <c r="AW48" s="10">
        <f t="shared" si="2"/>
        <v>35</v>
      </c>
      <c r="AX48" s="10">
        <f t="shared" si="2"/>
        <v>35</v>
      </c>
      <c r="AY48" s="10">
        <f t="shared" si="2"/>
        <v>35</v>
      </c>
      <c r="AZ48" s="10">
        <f t="shared" si="2"/>
        <v>35</v>
      </c>
      <c r="BA48" s="10">
        <f t="shared" si="2"/>
        <v>35</v>
      </c>
      <c r="BB48" s="10">
        <f t="shared" si="2"/>
        <v>35</v>
      </c>
      <c r="BC48" s="10">
        <f t="shared" si="2"/>
        <v>35</v>
      </c>
      <c r="BD48" s="10">
        <f t="shared" si="2"/>
        <v>35</v>
      </c>
      <c r="BE48" s="22">
        <v>1330</v>
      </c>
      <c r="BF48" s="39"/>
      <c r="BG48" s="9"/>
      <c r="BH48" s="219">
        <f t="shared" ref="BH48:BW48" si="3">SUM(BH3:BH47)</f>
        <v>140</v>
      </c>
      <c r="BI48" s="221">
        <f t="shared" si="3"/>
        <v>209790</v>
      </c>
      <c r="BJ48" s="76">
        <f t="shared" si="3"/>
        <v>140</v>
      </c>
      <c r="BK48" s="236">
        <f t="shared" si="3"/>
        <v>259810</v>
      </c>
      <c r="BL48" s="237">
        <f t="shared" si="3"/>
        <v>140</v>
      </c>
      <c r="BM48" s="238">
        <f t="shared" si="3"/>
        <v>501250</v>
      </c>
      <c r="BN48" s="76">
        <f t="shared" si="3"/>
        <v>140</v>
      </c>
      <c r="BO48" s="236">
        <f t="shared" si="3"/>
        <v>265780</v>
      </c>
      <c r="BP48" s="76">
        <f t="shared" si="3"/>
        <v>140</v>
      </c>
      <c r="BQ48" s="236">
        <f t="shared" si="3"/>
        <v>82010</v>
      </c>
      <c r="BR48" s="76">
        <f t="shared" si="3"/>
        <v>140</v>
      </c>
      <c r="BS48" s="236">
        <f t="shared" si="3"/>
        <v>121750</v>
      </c>
      <c r="BT48" s="76">
        <f t="shared" si="3"/>
        <v>140</v>
      </c>
      <c r="BU48" s="236">
        <f t="shared" si="3"/>
        <v>149580</v>
      </c>
      <c r="BV48" s="76">
        <f t="shared" si="3"/>
        <v>140</v>
      </c>
      <c r="BW48" s="236">
        <f t="shared" si="3"/>
        <v>122050</v>
      </c>
      <c r="BX48" s="76">
        <f t="shared" ref="BX48" si="4">SUM(BX3:BX47)</f>
        <v>140</v>
      </c>
      <c r="BY48" s="236">
        <f t="shared" ref="BY48" si="5">SUM(BY3:BY47)</f>
        <v>47150</v>
      </c>
      <c r="BZ48" s="76">
        <f t="shared" ref="BZ48:CB48" si="6">SUM(BZ3:BZ47)</f>
        <v>66</v>
      </c>
      <c r="CA48" s="236">
        <f t="shared" ref="CA48:CD48" si="7">SUM(CA3:CA47)</f>
        <v>103815</v>
      </c>
      <c r="CB48" s="76">
        <f t="shared" si="6"/>
        <v>140</v>
      </c>
      <c r="CC48" s="236">
        <f t="shared" si="7"/>
        <v>33750</v>
      </c>
      <c r="CD48" s="76">
        <f t="shared" si="7"/>
        <v>105</v>
      </c>
      <c r="CE48" s="236">
        <f t="shared" ref="CE48" si="8">SUM(CE3:CE47)</f>
        <v>34242.5</v>
      </c>
      <c r="CF48" s="262">
        <f>+BH48+BJ48+BL48+BN48+BP48+BR48+BT48+BV48+BX48+BZ48+CB48*4+CD48</f>
        <v>1991</v>
      </c>
      <c r="CG48" s="263">
        <f>+BI48+BK48+BM48+BO48+BQ48+BS48+BU48+BW48+BY48+CA48+CC48*4+CE48</f>
        <v>2032227.5</v>
      </c>
    </row>
    <row r="49" spans="3:86" ht="16.5" thickBot="1" x14ac:dyDescent="0.3">
      <c r="BG49" s="46" t="s">
        <v>222</v>
      </c>
      <c r="BH49" s="254">
        <f>+BH48</f>
        <v>140</v>
      </c>
      <c r="BI49" s="205"/>
      <c r="BJ49" s="253">
        <f>+BJ48+BH49</f>
        <v>280</v>
      </c>
      <c r="BK49" s="205"/>
      <c r="BL49" s="253">
        <f>+BL48+BJ49</f>
        <v>420</v>
      </c>
      <c r="BM49" s="205"/>
      <c r="BN49" s="253">
        <f>+BN48+BL49</f>
        <v>560</v>
      </c>
      <c r="BO49" s="205"/>
      <c r="BP49" s="253">
        <f>+BP48+BN49</f>
        <v>700</v>
      </c>
      <c r="BQ49" s="205"/>
      <c r="BR49" s="253">
        <f>+BR48+BP49</f>
        <v>840</v>
      </c>
      <c r="BS49" s="205"/>
      <c r="BT49" s="253">
        <f>+BT48+BR49</f>
        <v>980</v>
      </c>
      <c r="BU49" s="205"/>
      <c r="BV49" s="253">
        <f>+BV48+BT49</f>
        <v>1120</v>
      </c>
      <c r="BW49" s="205"/>
      <c r="BX49" s="253">
        <f>+BX48+BV49</f>
        <v>1260</v>
      </c>
      <c r="BY49" s="205"/>
      <c r="BZ49" s="253">
        <f>+BZ48+BX49</f>
        <v>1326</v>
      </c>
      <c r="CA49" s="205"/>
      <c r="CB49" s="253">
        <f>+CB48*4+BZ49</f>
        <v>1886</v>
      </c>
      <c r="CC49" s="205"/>
      <c r="CD49" s="259">
        <f>+CD48+CB49</f>
        <v>1991</v>
      </c>
      <c r="CE49" s="260"/>
      <c r="CF49" s="252"/>
      <c r="CG49" s="265"/>
    </row>
    <row r="50" spans="3:86" ht="16.5" thickBot="1" x14ac:dyDescent="0.3">
      <c r="C50" s="174" t="s">
        <v>142</v>
      </c>
      <c r="D50" s="175"/>
      <c r="E50" s="175"/>
      <c r="F50" s="175"/>
      <c r="G50" s="175"/>
      <c r="H50" s="175"/>
      <c r="I50" s="175"/>
      <c r="J50" s="175"/>
      <c r="K50" s="175"/>
      <c r="L50" s="175"/>
      <c r="M50" s="175"/>
      <c r="N50" s="175"/>
      <c r="O50" s="175"/>
      <c r="P50" s="175"/>
      <c r="Q50" s="177" t="s">
        <v>212</v>
      </c>
      <c r="R50" s="177" t="s">
        <v>229</v>
      </c>
      <c r="BG50" s="46" t="s">
        <v>224</v>
      </c>
      <c r="BH50" s="205"/>
      <c r="BI50" s="261">
        <f>+BI48</f>
        <v>209790</v>
      </c>
      <c r="BJ50" s="205"/>
      <c r="BK50" s="261">
        <f>+BK48+BI50</f>
        <v>469600</v>
      </c>
      <c r="BL50" s="205"/>
      <c r="BM50" s="261">
        <f>+BM48+BK50</f>
        <v>970850</v>
      </c>
      <c r="BN50" s="205"/>
      <c r="BO50" s="261">
        <f>+BO48+BM50</f>
        <v>1236630</v>
      </c>
      <c r="BP50" s="205"/>
      <c r="BQ50" s="261">
        <f>+BQ48+BO50</f>
        <v>1318640</v>
      </c>
      <c r="BR50" s="205"/>
      <c r="BS50" s="261">
        <f>+BS48+BQ50</f>
        <v>1440390</v>
      </c>
      <c r="BT50" s="205"/>
      <c r="BU50" s="261">
        <f>+BU48+BS50</f>
        <v>1589970</v>
      </c>
      <c r="BV50" s="205"/>
      <c r="BW50" s="261">
        <f>+BW48+BU50</f>
        <v>1712020</v>
      </c>
      <c r="BX50" s="205"/>
      <c r="BY50" s="261">
        <f>+BY48+BW50</f>
        <v>1759170</v>
      </c>
      <c r="BZ50" s="205"/>
      <c r="CA50" s="261">
        <f>+CA48+BY50</f>
        <v>1862985</v>
      </c>
      <c r="CB50" s="205"/>
      <c r="CC50" s="261">
        <f>+CC48*4+CA50</f>
        <v>1997985</v>
      </c>
      <c r="CD50" s="205"/>
      <c r="CE50" s="263">
        <f>+CE48+CC50</f>
        <v>2032227.5</v>
      </c>
      <c r="CF50" s="264"/>
      <c r="CG50" s="265"/>
    </row>
    <row r="51" spans="3:86" ht="15.75" thickBot="1" x14ac:dyDescent="0.3">
      <c r="C51" s="174" t="s">
        <v>131</v>
      </c>
      <c r="D51" s="175"/>
      <c r="E51" s="175"/>
      <c r="F51" s="175"/>
      <c r="G51" s="175"/>
      <c r="H51" s="175"/>
      <c r="I51" s="175"/>
      <c r="J51" s="175"/>
      <c r="K51" s="175"/>
      <c r="L51" s="175"/>
      <c r="M51" s="175"/>
      <c r="N51" s="175"/>
      <c r="O51" s="175"/>
      <c r="P51" s="175"/>
      <c r="Q51" s="176">
        <f>+R7+R10+R12+R14+R16+R18+R20+R26+R28+R30+R32+R36+R38</f>
        <v>14620</v>
      </c>
      <c r="R51" s="176">
        <f>+R7+R10+R12+R14+R16+R18+R20+R22+R24+R26+R28+R30+R32+R34+R36+R38</f>
        <v>28420</v>
      </c>
      <c r="CG51" s="37">
        <f>+CE50</f>
        <v>2032227.5</v>
      </c>
    </row>
    <row r="52" spans="3:86" ht="16.5" thickBot="1" x14ac:dyDescent="0.3">
      <c r="BG52" s="46" t="s">
        <v>123</v>
      </c>
      <c r="BI52" s="266">
        <f>+'Costos Fijos'!B10</f>
        <v>67500</v>
      </c>
      <c r="BK52" s="266">
        <f>+BI52</f>
        <v>67500</v>
      </c>
      <c r="BM52" s="266">
        <f>+BK52</f>
        <v>67500</v>
      </c>
      <c r="BO52" s="266">
        <f>+BM52</f>
        <v>67500</v>
      </c>
      <c r="BQ52" s="266">
        <f>+BO52</f>
        <v>67500</v>
      </c>
      <c r="BS52" s="266">
        <f>+BQ52</f>
        <v>67500</v>
      </c>
      <c r="BU52" s="266">
        <f>+BS52</f>
        <v>67500</v>
      </c>
      <c r="BW52" s="266">
        <f>+BU52</f>
        <v>67500</v>
      </c>
      <c r="BY52" s="266">
        <f>+BW52</f>
        <v>67500</v>
      </c>
      <c r="CA52" s="266">
        <f>+BY52</f>
        <v>67500</v>
      </c>
      <c r="CC52" s="266">
        <f>+CA52*4</f>
        <v>270000</v>
      </c>
      <c r="CE52" s="266">
        <f>+CA52</f>
        <v>67500</v>
      </c>
      <c r="CG52" s="41">
        <f>+BI52+BK52+BM52+BO52+BQ52+BS52+BU52+BW52+BY52+CA52+CC52+CE52</f>
        <v>1012500</v>
      </c>
    </row>
    <row r="53" spans="3:86" ht="16.5" thickBot="1" x14ac:dyDescent="0.3">
      <c r="BG53" s="46" t="s">
        <v>226</v>
      </c>
      <c r="BI53" s="268">
        <f>+BI48+BI52</f>
        <v>277290</v>
      </c>
      <c r="BJ53" s="48"/>
      <c r="BK53" s="268">
        <f t="shared" ref="BK53:CE53" si="9">+BK48+BK52</f>
        <v>327310</v>
      </c>
      <c r="BL53" s="48"/>
      <c r="BM53" s="268">
        <f t="shared" si="9"/>
        <v>568750</v>
      </c>
      <c r="BN53" s="48"/>
      <c r="BO53" s="268">
        <f t="shared" si="9"/>
        <v>333280</v>
      </c>
      <c r="BP53" s="48"/>
      <c r="BQ53" s="268">
        <f t="shared" si="9"/>
        <v>149510</v>
      </c>
      <c r="BR53" s="48"/>
      <c r="BS53" s="268">
        <f t="shared" si="9"/>
        <v>189250</v>
      </c>
      <c r="BT53" s="48"/>
      <c r="BU53" s="268">
        <f t="shared" si="9"/>
        <v>217080</v>
      </c>
      <c r="BV53" s="48"/>
      <c r="BW53" s="268">
        <f t="shared" si="9"/>
        <v>189550</v>
      </c>
      <c r="BX53" s="48"/>
      <c r="BY53" s="268">
        <f t="shared" si="9"/>
        <v>114650</v>
      </c>
      <c r="BZ53" s="48"/>
      <c r="CA53" s="268">
        <f t="shared" si="9"/>
        <v>171315</v>
      </c>
      <c r="CB53" s="48"/>
      <c r="CC53" s="268">
        <f>+CC48*4+CC52</f>
        <v>405000</v>
      </c>
      <c r="CD53" s="48"/>
      <c r="CE53" s="268">
        <f t="shared" si="9"/>
        <v>101742.5</v>
      </c>
      <c r="CF53" s="9"/>
      <c r="CG53" s="269">
        <f>SUM(CG51:CG52)</f>
        <v>3044727.5</v>
      </c>
    </row>
    <row r="54" spans="3:86" ht="15.75" thickBot="1" x14ac:dyDescent="0.3"/>
    <row r="55" spans="3:86" ht="16.5" thickBot="1" x14ac:dyDescent="0.3">
      <c r="BG55" s="46" t="s">
        <v>227</v>
      </c>
      <c r="BI55" s="268">
        <f>+BI53/$BG$1</f>
        <v>5899.7872340425529</v>
      </c>
      <c r="BJ55" s="49"/>
      <c r="BK55" s="268">
        <f>+BK53/$BG$1</f>
        <v>6964.0425531914898</v>
      </c>
      <c r="BL55" s="49"/>
      <c r="BM55" s="268">
        <f>+BM53/$BG$1</f>
        <v>12101.063829787234</v>
      </c>
      <c r="BN55" s="49"/>
      <c r="BO55" s="268">
        <f>+BO53/$BG$1</f>
        <v>7091.0638297872338</v>
      </c>
      <c r="BP55" s="49"/>
      <c r="BQ55" s="268">
        <f>+BQ53/$BG$1</f>
        <v>3181.0638297872342</v>
      </c>
      <c r="BR55" s="49"/>
      <c r="BS55" s="268">
        <f>+BS53/$BG$1</f>
        <v>4026.5957446808511</v>
      </c>
      <c r="BT55" s="49"/>
      <c r="BU55" s="268">
        <f>+BU53/$BG$1</f>
        <v>4618.7234042553191</v>
      </c>
      <c r="BV55" s="49"/>
      <c r="BW55" s="268">
        <f>+BW53/$BG$1</f>
        <v>4032.9787234042551</v>
      </c>
      <c r="BX55" s="49"/>
      <c r="BY55" s="268">
        <f>+BY53/$BG$1</f>
        <v>2439.3617021276596</v>
      </c>
      <c r="BZ55" s="49"/>
      <c r="CA55" s="268">
        <f>+CA53/$BG$1</f>
        <v>3645</v>
      </c>
      <c r="CB55" s="49"/>
      <c r="CC55" s="268">
        <f>+CC53/$BG$1</f>
        <v>8617.021276595744</v>
      </c>
      <c r="CD55" s="49"/>
      <c r="CE55" s="268">
        <f>+CE53/$BG$1</f>
        <v>2164.7340425531916</v>
      </c>
      <c r="CG55" s="269">
        <f>+CG53/10</f>
        <v>304472.75</v>
      </c>
      <c r="CH55" s="267" t="s">
        <v>228</v>
      </c>
    </row>
    <row r="56" spans="3:86" x14ac:dyDescent="0.25">
      <c r="BG56" s="44"/>
      <c r="BO56" s="50"/>
    </row>
    <row r="57" spans="3:86" ht="24" x14ac:dyDescent="0.4">
      <c r="BG57" s="270" t="s">
        <v>142</v>
      </c>
    </row>
    <row r="58" spans="3:86" ht="15.75" x14ac:dyDescent="0.25">
      <c r="BF58" s="271"/>
      <c r="BG58" s="277" t="s">
        <v>124</v>
      </c>
      <c r="BH58" s="205"/>
      <c r="BI58" s="55">
        <f>+BG7+BG10+BG12</f>
        <v>3030</v>
      </c>
      <c r="BJ58" s="205"/>
      <c r="BK58" s="55">
        <f>+BG16+BG18+BG20</f>
        <v>4380</v>
      </c>
      <c r="BL58" s="205"/>
      <c r="BM58" s="55"/>
      <c r="BN58" s="205"/>
      <c r="BO58" s="175"/>
      <c r="BP58" s="205"/>
      <c r="BQ58" s="272">
        <f>+BG38</f>
        <v>580</v>
      </c>
      <c r="BR58" s="205"/>
      <c r="BS58" s="272">
        <f>+BG32</f>
        <v>1500</v>
      </c>
      <c r="BT58" s="205"/>
      <c r="BU58" s="272">
        <f>+BG36</f>
        <v>2000</v>
      </c>
      <c r="BV58" s="205"/>
      <c r="BW58" s="272">
        <f>+BG30</f>
        <v>1600</v>
      </c>
      <c r="BX58" s="205"/>
      <c r="BY58" s="272"/>
      <c r="BZ58" s="205"/>
      <c r="CA58" s="272">
        <f>+BG26+BG28</f>
        <v>1530</v>
      </c>
      <c r="CB58" s="205"/>
      <c r="CC58" s="272">
        <f>+BI26+BI28</f>
        <v>0</v>
      </c>
      <c r="CD58" s="205"/>
      <c r="CE58" s="272">
        <f>+BK26+BK28</f>
        <v>0</v>
      </c>
      <c r="CF58" s="278">
        <f>SUM(BI58:CD58)</f>
        <v>14620</v>
      </c>
    </row>
    <row r="59" spans="3:86" ht="15.75" x14ac:dyDescent="0.25">
      <c r="BF59" s="271"/>
      <c r="BG59" s="277" t="s">
        <v>125</v>
      </c>
      <c r="BH59" s="205"/>
      <c r="BI59" s="55">
        <v>0</v>
      </c>
      <c r="BJ59" s="205"/>
      <c r="BK59" s="55"/>
      <c r="BL59" s="205"/>
      <c r="BM59" s="55">
        <f>+BG22+BG34</f>
        <v>9400</v>
      </c>
      <c r="BN59" s="205"/>
      <c r="BO59" s="272">
        <f>+BG24</f>
        <v>4400</v>
      </c>
      <c r="BP59" s="205"/>
      <c r="BQ59" s="175"/>
      <c r="BR59" s="205"/>
      <c r="BS59" s="272"/>
      <c r="BT59" s="205"/>
      <c r="BU59" s="272"/>
      <c r="BV59" s="205"/>
      <c r="BW59" s="272"/>
      <c r="BX59" s="205"/>
      <c r="BY59" s="272"/>
      <c r="BZ59" s="205"/>
      <c r="CA59" s="272"/>
      <c r="CB59" s="205"/>
      <c r="CC59" s="272"/>
      <c r="CD59" s="205"/>
      <c r="CE59" s="272"/>
      <c r="CF59" s="278">
        <f>SUM(BI59:CD59)</f>
        <v>13800</v>
      </c>
    </row>
    <row r="60" spans="3:86" ht="18.75" x14ac:dyDescent="0.25">
      <c r="BF60" s="271"/>
      <c r="BG60" s="277" t="s">
        <v>124</v>
      </c>
      <c r="BH60" s="205"/>
      <c r="BI60" s="279">
        <f>SUM(BI58:BI59)</f>
        <v>3030</v>
      </c>
      <c r="BJ60" s="205"/>
      <c r="BK60" s="279">
        <f>SUM(BK58:BK59)</f>
        <v>4380</v>
      </c>
      <c r="BL60" s="205"/>
      <c r="BM60" s="279">
        <f>SUM(BM58:BM59)</f>
        <v>9400</v>
      </c>
      <c r="BN60" s="205"/>
      <c r="BO60" s="279">
        <f>SUM(BO58:BO59)</f>
        <v>4400</v>
      </c>
      <c r="BP60" s="205"/>
      <c r="BQ60" s="279">
        <f>SUM(BQ58:BQ59)</f>
        <v>580</v>
      </c>
      <c r="BR60" s="205"/>
      <c r="BS60" s="279">
        <f>SUM(BS58:BS59)</f>
        <v>1500</v>
      </c>
      <c r="BT60" s="205"/>
      <c r="BU60" s="279">
        <f>SUM(BU58:BU59)</f>
        <v>2000</v>
      </c>
      <c r="BV60" s="205"/>
      <c r="BW60" s="279">
        <f>SUM(BW58:BW59)</f>
        <v>1600</v>
      </c>
      <c r="BX60" s="205"/>
      <c r="BY60" s="272"/>
      <c r="BZ60" s="205"/>
      <c r="CA60" s="279">
        <f>SUM(CA58:CA59)</f>
        <v>1530</v>
      </c>
      <c r="CB60" s="205"/>
      <c r="CC60" s="272"/>
      <c r="CD60" s="205"/>
      <c r="CE60" s="272"/>
      <c r="CF60" s="280">
        <f>SUM(BI60:CD60)</f>
        <v>28420</v>
      </c>
    </row>
    <row r="61" spans="3:86" ht="6" customHeight="1" x14ac:dyDescent="0.25">
      <c r="BG61" s="44"/>
      <c r="BH61" s="9"/>
      <c r="BI61" s="275"/>
      <c r="BJ61" s="9"/>
      <c r="BK61" s="275"/>
      <c r="BL61" s="9"/>
      <c r="BM61" s="275"/>
      <c r="BN61" s="9"/>
      <c r="BO61" s="50"/>
      <c r="BP61" s="9"/>
      <c r="BR61" s="9"/>
      <c r="BS61" s="50"/>
      <c r="BT61" s="9"/>
      <c r="BU61" s="50"/>
      <c r="BV61" s="9"/>
      <c r="BW61" s="50"/>
      <c r="BX61" s="9"/>
      <c r="BY61" s="50"/>
      <c r="BZ61" s="9"/>
      <c r="CA61" s="50"/>
      <c r="CB61" s="9"/>
      <c r="CC61" s="50"/>
      <c r="CD61" s="9"/>
      <c r="CE61" s="50"/>
      <c r="CF61" s="276"/>
      <c r="CG61"/>
    </row>
    <row r="62" spans="3:86" ht="15.75" x14ac:dyDescent="0.25">
      <c r="BF62" s="271"/>
      <c r="BG62" s="277" t="s">
        <v>230</v>
      </c>
      <c r="BH62" s="205"/>
      <c r="BI62" s="273">
        <f>+BI55</f>
        <v>5899.7872340425529</v>
      </c>
      <c r="BJ62" s="205"/>
      <c r="BK62" s="273">
        <f t="shared" ref="BK62" si="10">+BK55</f>
        <v>6964.0425531914898</v>
      </c>
      <c r="BL62" s="205"/>
      <c r="BM62" s="273">
        <f t="shared" ref="BM62" si="11">+BM55</f>
        <v>12101.063829787234</v>
      </c>
      <c r="BN62" s="205"/>
      <c r="BO62" s="273">
        <f t="shared" ref="BO62" si="12">+BO55</f>
        <v>7091.0638297872338</v>
      </c>
      <c r="BP62" s="205"/>
      <c r="BQ62" s="273">
        <f t="shared" ref="BQ62" si="13">+BQ55</f>
        <v>3181.0638297872342</v>
      </c>
      <c r="BR62" s="205"/>
      <c r="BS62" s="273">
        <f t="shared" ref="BS62" si="14">+BS55</f>
        <v>4026.5957446808511</v>
      </c>
      <c r="BT62" s="205"/>
      <c r="BU62" s="273">
        <f t="shared" ref="BU62" si="15">+BU55</f>
        <v>4618.7234042553191</v>
      </c>
      <c r="BV62" s="205"/>
      <c r="BW62" s="273">
        <f t="shared" ref="BW62" si="16">+BW55</f>
        <v>4032.9787234042551</v>
      </c>
      <c r="BX62" s="205"/>
      <c r="BY62" s="273">
        <f t="shared" ref="BY62" si="17">+BY55</f>
        <v>2439.3617021276596</v>
      </c>
      <c r="BZ62" s="205"/>
      <c r="CA62" s="273">
        <f t="shared" ref="CA62" si="18">+CA55</f>
        <v>3645</v>
      </c>
      <c r="CB62" s="205"/>
      <c r="CC62" s="273">
        <f t="shared" ref="CC62" si="19">+CC55</f>
        <v>8617.021276595744</v>
      </c>
      <c r="CD62" s="205"/>
      <c r="CE62" s="273">
        <f t="shared" ref="CE62" si="20">+CE55</f>
        <v>2164.7340425531916</v>
      </c>
      <c r="CF62" s="282">
        <f>SUM(BI62:CE62)</f>
        <v>64781.436170212772</v>
      </c>
      <c r="CG62" s="281" t="s">
        <v>231</v>
      </c>
    </row>
    <row r="63" spans="3:86" ht="15.75" x14ac:dyDescent="0.25">
      <c r="BF63" s="271"/>
      <c r="BG63" s="277" t="s">
        <v>232</v>
      </c>
      <c r="BH63" s="205"/>
      <c r="BI63" s="273">
        <f>+BI55-BI59</f>
        <v>5899.7872340425529</v>
      </c>
      <c r="BJ63" s="205"/>
      <c r="BK63" s="273">
        <f>+BK55-BK59</f>
        <v>6964.0425531914898</v>
      </c>
      <c r="BL63" s="205"/>
      <c r="BM63" s="273">
        <f>+BM55-BM59</f>
        <v>2701.0638297872338</v>
      </c>
      <c r="BN63" s="205"/>
      <c r="BO63" s="273">
        <f>+BO55-BO59</f>
        <v>2691.0638297872338</v>
      </c>
      <c r="BP63" s="205"/>
      <c r="BQ63" s="273">
        <f>+BQ55-BQ59</f>
        <v>3181.0638297872342</v>
      </c>
      <c r="BR63" s="205"/>
      <c r="BS63" s="273">
        <f>+BS55-BS59</f>
        <v>4026.5957446808511</v>
      </c>
      <c r="BT63" s="205"/>
      <c r="BU63" s="273">
        <f>+BU55-BU59</f>
        <v>4618.7234042553191</v>
      </c>
      <c r="BV63" s="205"/>
      <c r="BW63" s="273">
        <f>+BW55-BW59</f>
        <v>4032.9787234042551</v>
      </c>
      <c r="BX63" s="205"/>
      <c r="BY63" s="273">
        <f>+BY55-BY59</f>
        <v>2439.3617021276596</v>
      </c>
      <c r="BZ63" s="205"/>
      <c r="CA63" s="273">
        <f>+CA55-CA59</f>
        <v>3645</v>
      </c>
      <c r="CB63" s="205"/>
      <c r="CC63" s="273">
        <f>+CC55-CC59</f>
        <v>8617.021276595744</v>
      </c>
      <c r="CD63" s="205"/>
      <c r="CE63" s="273">
        <f>+CE55-CE59</f>
        <v>2164.7340425531916</v>
      </c>
      <c r="CF63" s="282">
        <f t="shared" ref="CF63:CF64" si="21">SUM(BI63:CE63)</f>
        <v>50981.436170212772</v>
      </c>
      <c r="CG63" s="281" t="s">
        <v>233</v>
      </c>
    </row>
    <row r="64" spans="3:86" ht="15.75" x14ac:dyDescent="0.25">
      <c r="BF64" s="271"/>
      <c r="BG64" s="277" t="s">
        <v>126</v>
      </c>
      <c r="BH64" s="205"/>
      <c r="BI64" s="273">
        <f>+BI55-BI58-BI59</f>
        <v>2869.7872340425529</v>
      </c>
      <c r="BJ64" s="205"/>
      <c r="BK64" s="273">
        <f>+BK55-BK58-BK59</f>
        <v>2584.0425531914898</v>
      </c>
      <c r="BL64" s="205"/>
      <c r="BM64" s="273">
        <f>+BM55-BM58-BM59</f>
        <v>2701.0638297872338</v>
      </c>
      <c r="BN64" s="205"/>
      <c r="BO64" s="273">
        <f>+BO55-BO58-BO59</f>
        <v>2691.0638297872338</v>
      </c>
      <c r="BP64" s="205"/>
      <c r="BQ64" s="273">
        <f>+BQ55-BQ58-BQ59</f>
        <v>2601.0638297872342</v>
      </c>
      <c r="BR64" s="205"/>
      <c r="BS64" s="273">
        <f>+BS55-BS58-BS59</f>
        <v>2526.5957446808511</v>
      </c>
      <c r="BT64" s="205"/>
      <c r="BU64" s="273">
        <f>+BU55-BU58-BU59</f>
        <v>2618.7234042553191</v>
      </c>
      <c r="BV64" s="205"/>
      <c r="BW64" s="273">
        <f>+BW55-BW58-BW59</f>
        <v>2432.9787234042551</v>
      </c>
      <c r="BX64" s="205"/>
      <c r="BY64" s="273">
        <f>+BY55-BY58-BY59</f>
        <v>2439.3617021276596</v>
      </c>
      <c r="BZ64" s="205"/>
      <c r="CA64" s="273">
        <f>+CA55-CA58-CA59</f>
        <v>2115</v>
      </c>
      <c r="CB64" s="205"/>
      <c r="CC64" s="273">
        <f>+CC55-CC58-CC59</f>
        <v>8617.021276595744</v>
      </c>
      <c r="CD64" s="205"/>
      <c r="CE64" s="273">
        <f>+CE55-CE58-CE59</f>
        <v>2164.7340425531916</v>
      </c>
      <c r="CF64" s="290">
        <f t="shared" si="21"/>
        <v>36361.436170212772</v>
      </c>
      <c r="CG64" s="281" t="s">
        <v>234</v>
      </c>
    </row>
    <row r="65" spans="17:85" ht="15.75" thickBot="1" x14ac:dyDescent="0.3">
      <c r="CF65" s="289"/>
      <c r="CG65"/>
    </row>
    <row r="66" spans="17:85" ht="16.5" thickBot="1" x14ac:dyDescent="0.3">
      <c r="BM66" s="58">
        <f>+CF64</f>
        <v>36361.436170212772</v>
      </c>
      <c r="BN66" s="288"/>
      <c r="BO66" s="289"/>
      <c r="BP66" s="288"/>
      <c r="BQ66" s="289"/>
      <c r="BR66" s="288"/>
      <c r="BS66" s="289"/>
      <c r="BT66" s="288"/>
      <c r="BU66" s="289"/>
      <c r="BV66" s="288"/>
      <c r="BW66" s="289"/>
      <c r="BX66" s="288"/>
      <c r="BY66" s="289"/>
      <c r="BZ66" s="288"/>
      <c r="CA66" s="289"/>
      <c r="CB66" s="288"/>
      <c r="CC66" s="289"/>
      <c r="CD66" s="288"/>
      <c r="CE66" s="289"/>
      <c r="CF66" s="289"/>
      <c r="CG66"/>
    </row>
    <row r="67" spans="17:85" ht="15.75" thickBot="1" x14ac:dyDescent="0.3">
      <c r="BL67" s="44" t="s">
        <v>130</v>
      </c>
      <c r="CG67"/>
    </row>
    <row r="68" spans="17:85" ht="21.75" thickBot="1" x14ac:dyDescent="0.4">
      <c r="BG68" s="44"/>
      <c r="BL68" s="44" t="s">
        <v>235</v>
      </c>
      <c r="BM68" s="297">
        <f>+BM66/18</f>
        <v>2020.0797872340429</v>
      </c>
      <c r="BN68" s="292" t="s">
        <v>236</v>
      </c>
      <c r="BR68" s="291" t="s">
        <v>121</v>
      </c>
      <c r="BS68" s="296">
        <v>47</v>
      </c>
      <c r="CA68" s="50"/>
      <c r="CG68"/>
    </row>
    <row r="69" spans="17:85" ht="6.75" customHeight="1" x14ac:dyDescent="0.25">
      <c r="Q69" s="293"/>
      <c r="R69" s="293"/>
      <c r="BG69" s="44"/>
      <c r="BI69" s="294"/>
      <c r="BK69" s="44"/>
      <c r="BM69" s="295"/>
      <c r="BN69" s="292"/>
      <c r="BR69"/>
      <c r="CA69" s="50"/>
      <c r="CG69"/>
    </row>
    <row r="70" spans="17:85" ht="15.75" x14ac:dyDescent="0.25">
      <c r="Q70" s="293"/>
      <c r="R70" s="293"/>
      <c r="BG70" s="44"/>
      <c r="BI70" s="294"/>
      <c r="BK70"/>
      <c r="BL70" s="44" t="s">
        <v>237</v>
      </c>
      <c r="BM70" s="295">
        <v>200</v>
      </c>
      <c r="BN70" s="292"/>
      <c r="BR70"/>
      <c r="CA70" s="50"/>
      <c r="CG70"/>
    </row>
    <row r="71" spans="17:85" ht="15.75" x14ac:dyDescent="0.25">
      <c r="Q71" s="293"/>
      <c r="R71" s="293"/>
      <c r="BG71" s="44"/>
      <c r="BI71" s="294"/>
      <c r="BK71"/>
      <c r="BL71" s="44" t="s">
        <v>238</v>
      </c>
      <c r="BM71" s="295">
        <f>+Q51/18</f>
        <v>812.22222222222217</v>
      </c>
      <c r="BN71" s="292"/>
      <c r="CA71" s="50"/>
      <c r="CG71"/>
    </row>
    <row r="72" spans="17:85" ht="15.75" x14ac:dyDescent="0.25">
      <c r="BL72" s="44" t="s">
        <v>132</v>
      </c>
      <c r="BM72" s="295">
        <f>+R51/18</f>
        <v>1578.8888888888889</v>
      </c>
      <c r="CG72"/>
    </row>
    <row r="74" spans="17:85" ht="15.75" x14ac:dyDescent="0.25">
      <c r="BM74" s="49" t="s">
        <v>239</v>
      </c>
    </row>
    <row r="75" spans="17:85" x14ac:dyDescent="0.25">
      <c r="BL75" s="303" t="s">
        <v>121</v>
      </c>
      <c r="BM75" s="299" t="s">
        <v>141</v>
      </c>
    </row>
    <row r="76" spans="17:85" x14ac:dyDescent="0.25">
      <c r="BL76" s="300">
        <v>10</v>
      </c>
      <c r="BM76" s="301">
        <v>13118.194444444445</v>
      </c>
    </row>
    <row r="77" spans="17:85" x14ac:dyDescent="0.25">
      <c r="BL77" s="300">
        <v>30</v>
      </c>
      <c r="BM77" s="301">
        <v>4581.5277777777774</v>
      </c>
    </row>
    <row r="78" spans="17:85" x14ac:dyDescent="0.25">
      <c r="BL78" s="300">
        <v>50</v>
      </c>
      <c r="BM78" s="301">
        <v>2874.1944444444443</v>
      </c>
    </row>
    <row r="79" spans="17:85" x14ac:dyDescent="0.25">
      <c r="BL79" s="300">
        <v>70</v>
      </c>
      <c r="BM79" s="301">
        <v>2142.480158730159</v>
      </c>
    </row>
    <row r="80" spans="17:85" x14ac:dyDescent="0.25">
      <c r="BL80" s="300">
        <v>100</v>
      </c>
      <c r="BM80" s="301">
        <v>1593.6944444444443</v>
      </c>
    </row>
    <row r="81" spans="59:85" x14ac:dyDescent="0.25">
      <c r="BL81" s="300">
        <v>200</v>
      </c>
      <c r="BM81" s="301">
        <v>953.44444444444446</v>
      </c>
      <c r="BO81" s="8"/>
      <c r="BP81"/>
      <c r="BQ81" s="8"/>
      <c r="BR81"/>
      <c r="BS81" s="8"/>
      <c r="BT81"/>
      <c r="BU81" s="8"/>
      <c r="BV81"/>
      <c r="BW81" s="8"/>
      <c r="BX81"/>
      <c r="BY81" s="8"/>
      <c r="BZ81"/>
      <c r="CA81" s="8"/>
      <c r="CB81"/>
      <c r="CC81" s="8"/>
      <c r="CD81"/>
      <c r="CF81" s="37"/>
      <c r="CG81"/>
    </row>
    <row r="82" spans="59:85" x14ac:dyDescent="0.25">
      <c r="BL82" s="300">
        <v>1000</v>
      </c>
      <c r="BM82" s="302">
        <v>441.24444444444453</v>
      </c>
      <c r="BO82" s="8"/>
      <c r="BP82"/>
      <c r="BQ82" s="8"/>
      <c r="BR82"/>
      <c r="BS82" s="8"/>
      <c r="BT82"/>
      <c r="BU82" s="8"/>
      <c r="BV82"/>
      <c r="BW82" s="8"/>
      <c r="BX82"/>
      <c r="BY82" s="8"/>
      <c r="BZ82"/>
      <c r="CA82" s="8"/>
      <c r="CB82"/>
      <c r="CC82" s="8"/>
      <c r="CD82"/>
      <c r="CF82" s="37"/>
      <c r="CG82"/>
    </row>
    <row r="83" spans="59:85" x14ac:dyDescent="0.25">
      <c r="BQ83" s="8"/>
      <c r="BR83"/>
      <c r="BS83" s="8"/>
      <c r="BT83"/>
      <c r="BU83" s="8"/>
      <c r="BV83"/>
      <c r="BW83" s="8"/>
      <c r="BX83"/>
      <c r="BY83" s="8"/>
      <c r="BZ83"/>
      <c r="CA83" s="8"/>
      <c r="CB83"/>
      <c r="CC83" s="8"/>
      <c r="CD83"/>
      <c r="CF83" s="37"/>
      <c r="CG83"/>
    </row>
    <row r="84" spans="59:85" x14ac:dyDescent="0.25">
      <c r="BQ84" s="8"/>
      <c r="BR84"/>
      <c r="BS84" s="8"/>
      <c r="BT84"/>
      <c r="BU84" s="8"/>
      <c r="BV84"/>
      <c r="BW84" s="8"/>
      <c r="BX84"/>
      <c r="BY84" s="8"/>
      <c r="BZ84"/>
      <c r="CA84" s="8"/>
      <c r="CB84"/>
      <c r="CC84" s="8"/>
      <c r="CD84"/>
      <c r="CF84" s="37"/>
      <c r="CG84"/>
    </row>
    <row r="85" spans="59:85" ht="15.75" x14ac:dyDescent="0.25">
      <c r="BG85" s="284" t="s">
        <v>134</v>
      </c>
      <c r="BH85" s="40"/>
      <c r="BI85"/>
      <c r="BK85" s="48">
        <v>2200</v>
      </c>
      <c r="BL85" s="40" t="s">
        <v>133</v>
      </c>
      <c r="BQ85" s="8"/>
      <c r="BR85"/>
      <c r="BS85" s="8"/>
      <c r="BT85"/>
      <c r="BU85" s="8"/>
      <c r="BV85"/>
      <c r="BW85" s="8"/>
      <c r="BX85"/>
      <c r="BY85" s="8"/>
      <c r="BZ85"/>
      <c r="CA85" s="8"/>
      <c r="CB85"/>
      <c r="CC85" s="8"/>
      <c r="CD85"/>
      <c r="CF85" s="37"/>
      <c r="CG85"/>
    </row>
    <row r="86" spans="59:85" ht="15.75" x14ac:dyDescent="0.25">
      <c r="BG86" s="284" t="s">
        <v>135</v>
      </c>
      <c r="BH86" s="40"/>
      <c r="BI86"/>
      <c r="BK86" s="48">
        <v>1850</v>
      </c>
      <c r="BL86" s="40" t="s">
        <v>133</v>
      </c>
      <c r="BQ86" s="8"/>
      <c r="BR86"/>
      <c r="BS86" s="8"/>
      <c r="BT86"/>
      <c r="BU86" s="8"/>
      <c r="BV86"/>
      <c r="BW86" s="8"/>
      <c r="BX86"/>
      <c r="BY86" s="8"/>
      <c r="BZ86"/>
      <c r="CA86" s="8"/>
      <c r="CB86"/>
      <c r="CC86" s="8"/>
      <c r="CD86"/>
      <c r="CF86" s="37"/>
      <c r="CG86"/>
    </row>
    <row r="87" spans="59:85" x14ac:dyDescent="0.25">
      <c r="BG87" s="40"/>
      <c r="BH87" s="40"/>
      <c r="BI87"/>
      <c r="BQ87" s="8"/>
      <c r="BR87"/>
      <c r="BS87" s="8"/>
      <c r="BT87"/>
      <c r="BU87" s="8"/>
      <c r="BV87"/>
      <c r="BW87" s="8"/>
      <c r="BX87"/>
      <c r="BY87" s="8"/>
      <c r="BZ87"/>
      <c r="CA87" s="8"/>
      <c r="CB87"/>
      <c r="CC87" s="8"/>
      <c r="CD87"/>
      <c r="CF87" s="37"/>
      <c r="CG87"/>
    </row>
    <row r="88" spans="59:85" ht="15.75" x14ac:dyDescent="0.25">
      <c r="BG88" s="40"/>
      <c r="BH88" s="40"/>
      <c r="BI88"/>
      <c r="BK88" s="48">
        <f>+BK79+BK81+BK85</f>
        <v>2200</v>
      </c>
      <c r="BL88" s="40" t="s">
        <v>136</v>
      </c>
      <c r="BQ88" s="8"/>
      <c r="BR88"/>
      <c r="BS88" s="8"/>
      <c r="BT88"/>
      <c r="BU88" s="8"/>
      <c r="BV88"/>
      <c r="BW88" s="8"/>
      <c r="BX88"/>
      <c r="BY88" s="8"/>
      <c r="BZ88"/>
      <c r="CA88" s="8"/>
      <c r="CB88"/>
      <c r="CC88" s="8"/>
      <c r="CD88"/>
      <c r="CF88" s="37"/>
      <c r="CG88"/>
    </row>
    <row r="89" spans="59:85" x14ac:dyDescent="0.25">
      <c r="BQ89" s="8"/>
      <c r="BR89"/>
      <c r="BS89" s="8"/>
      <c r="BT89"/>
      <c r="BU89" s="8"/>
      <c r="BV89"/>
      <c r="BW89" s="8"/>
      <c r="BX89"/>
      <c r="BY89" s="8"/>
      <c r="BZ89"/>
      <c r="CA89" s="8"/>
      <c r="CB89"/>
      <c r="CC89" s="8"/>
      <c r="CD89"/>
      <c r="CF89" s="37"/>
      <c r="CG89"/>
    </row>
    <row r="90" spans="59:85" x14ac:dyDescent="0.25">
      <c r="BQ90" s="8"/>
      <c r="BR90"/>
      <c r="BS90" s="8"/>
      <c r="BT90"/>
      <c r="BU90" s="8"/>
      <c r="BV90"/>
      <c r="BW90" s="8"/>
      <c r="BX90"/>
      <c r="BY90" s="8"/>
      <c r="BZ90"/>
      <c r="CA90" s="8"/>
      <c r="CB90"/>
      <c r="CC90" s="8"/>
      <c r="CD90"/>
      <c r="CF90" s="37"/>
      <c r="CG90"/>
    </row>
    <row r="91" spans="59:85" x14ac:dyDescent="0.25">
      <c r="BQ91" s="8"/>
      <c r="BR91"/>
      <c r="BS91" s="8"/>
      <c r="BT91"/>
      <c r="BU91" s="8"/>
      <c r="BV91"/>
      <c r="BW91" s="8"/>
      <c r="BX91"/>
      <c r="BY91" s="8"/>
      <c r="BZ91"/>
      <c r="CA91" s="8"/>
      <c r="CB91"/>
      <c r="CC91" s="8"/>
      <c r="CD91"/>
      <c r="CF91" s="37"/>
      <c r="CG91"/>
    </row>
    <row r="92" spans="59:85" x14ac:dyDescent="0.25">
      <c r="BQ92" s="8"/>
      <c r="BR92"/>
      <c r="BS92" s="8"/>
      <c r="BT92"/>
      <c r="BU92" s="8"/>
      <c r="BV92"/>
      <c r="BW92" s="8"/>
      <c r="BX92"/>
      <c r="BY92" s="8"/>
      <c r="BZ92"/>
      <c r="CA92" s="8"/>
      <c r="CB92"/>
      <c r="CC92" s="8"/>
      <c r="CD92"/>
      <c r="CF92" s="37"/>
      <c r="CG92"/>
    </row>
    <row r="93" spans="59:85" x14ac:dyDescent="0.25">
      <c r="BQ93" s="8"/>
      <c r="BR93"/>
      <c r="BS93" s="8"/>
      <c r="BT93"/>
      <c r="BU93" s="8"/>
      <c r="BV93"/>
      <c r="BW93" s="8"/>
      <c r="BX93"/>
      <c r="BY93" s="8"/>
      <c r="BZ93"/>
      <c r="CA93" s="8"/>
      <c r="CB93"/>
      <c r="CC93" s="8"/>
      <c r="CD93"/>
      <c r="CF93" s="37"/>
      <c r="CG93"/>
    </row>
    <row r="94" spans="59:85" x14ac:dyDescent="0.25">
      <c r="BQ94" s="8"/>
      <c r="BR94"/>
      <c r="BS94" s="8"/>
      <c r="BT94"/>
      <c r="BU94" s="8"/>
      <c r="BV94"/>
      <c r="BW94" s="8"/>
      <c r="BX94"/>
      <c r="BY94" s="8"/>
      <c r="BZ94"/>
      <c r="CA94" s="8"/>
      <c r="CB94"/>
      <c r="CC94" s="8"/>
      <c r="CD94"/>
      <c r="CF94" s="37"/>
      <c r="CG94"/>
    </row>
    <row r="95" spans="59:85" x14ac:dyDescent="0.25">
      <c r="BQ95" s="8"/>
      <c r="BR95"/>
      <c r="BS95" s="8"/>
      <c r="BT95"/>
      <c r="BU95" s="8"/>
      <c r="BV95"/>
      <c r="BW95" s="8"/>
      <c r="BX95"/>
      <c r="BY95" s="8"/>
      <c r="BZ95"/>
      <c r="CA95" s="8"/>
      <c r="CB95"/>
      <c r="CC95" s="8"/>
      <c r="CD95"/>
      <c r="CF95" s="37"/>
      <c r="CG95"/>
    </row>
    <row r="96" spans="59:85" x14ac:dyDescent="0.25">
      <c r="BQ96" s="8"/>
      <c r="BR96"/>
      <c r="BS96" s="8"/>
      <c r="BT96"/>
      <c r="BU96" s="8"/>
      <c r="BV96"/>
      <c r="BW96" s="8"/>
      <c r="BX96"/>
      <c r="BY96" s="8"/>
      <c r="BZ96"/>
      <c r="CA96" s="8"/>
      <c r="CB96"/>
      <c r="CC96" s="8"/>
      <c r="CD96"/>
      <c r="CF96" s="37"/>
      <c r="CG96"/>
    </row>
    <row r="97" spans="68:85" x14ac:dyDescent="0.25">
      <c r="BQ97" s="8"/>
      <c r="BR97"/>
      <c r="BS97" s="8"/>
      <c r="BT97"/>
      <c r="BU97" s="8"/>
      <c r="BV97"/>
      <c r="BW97" s="8"/>
      <c r="BX97"/>
      <c r="BY97" s="8"/>
      <c r="BZ97"/>
      <c r="CA97" s="8"/>
      <c r="CB97"/>
      <c r="CC97" s="8"/>
      <c r="CD97"/>
      <c r="CF97" s="37"/>
      <c r="CG97"/>
    </row>
    <row r="98" spans="68:85" x14ac:dyDescent="0.25">
      <c r="BP98"/>
      <c r="BQ98" s="8"/>
      <c r="BR98"/>
      <c r="BS98" s="8"/>
      <c r="BT98"/>
      <c r="BU98" s="8"/>
      <c r="BV98"/>
      <c r="BW98" s="8"/>
      <c r="BX98"/>
      <c r="BY98" s="8"/>
      <c r="BZ98"/>
      <c r="CA98" s="8"/>
      <c r="CB98"/>
      <c r="CC98" s="8"/>
      <c r="CD98"/>
      <c r="CF98" s="37"/>
      <c r="CG98"/>
    </row>
  </sheetData>
  <mergeCells count="52">
    <mergeCell ref="CB1:CC1"/>
    <mergeCell ref="CD1:CE1"/>
    <mergeCell ref="BR1:BS1"/>
    <mergeCell ref="BT1:BU1"/>
    <mergeCell ref="BV1:BW1"/>
    <mergeCell ref="BX1:BY1"/>
    <mergeCell ref="BZ1:CA1"/>
    <mergeCell ref="BH1:BI1"/>
    <mergeCell ref="BJ1:BK1"/>
    <mergeCell ref="BL1:BM1"/>
    <mergeCell ref="BN1:BO1"/>
    <mergeCell ref="BP1:BQ1"/>
    <mergeCell ref="B35:B36"/>
    <mergeCell ref="C35:C36"/>
    <mergeCell ref="B37:B38"/>
    <mergeCell ref="C37:C38"/>
    <mergeCell ref="B19:B20"/>
    <mergeCell ref="C19:C20"/>
    <mergeCell ref="B21:B22"/>
    <mergeCell ref="C21:C22"/>
    <mergeCell ref="B23:B24"/>
    <mergeCell ref="C23:C24"/>
    <mergeCell ref="C25:C26"/>
    <mergeCell ref="B29:B30"/>
    <mergeCell ref="C29:C30"/>
    <mergeCell ref="B31:B32"/>
    <mergeCell ref="C31:C32"/>
    <mergeCell ref="B17:B18"/>
    <mergeCell ref="C17:C18"/>
    <mergeCell ref="C27:C28"/>
    <mergeCell ref="B33:B34"/>
    <mergeCell ref="C33:C34"/>
    <mergeCell ref="B25:B28"/>
    <mergeCell ref="B11:B12"/>
    <mergeCell ref="C11:C12"/>
    <mergeCell ref="B13:B14"/>
    <mergeCell ref="C13:C14"/>
    <mergeCell ref="B15:B16"/>
    <mergeCell ref="C15:C16"/>
    <mergeCell ref="AU1:AX1"/>
    <mergeCell ref="AY1:BB1"/>
    <mergeCell ref="S1:V1"/>
    <mergeCell ref="W1:Z1"/>
    <mergeCell ref="AA1:AD1"/>
    <mergeCell ref="AE1:AH1"/>
    <mergeCell ref="AI1:AL1"/>
    <mergeCell ref="AM1:AP1"/>
    <mergeCell ref="B6:B7"/>
    <mergeCell ref="C6:C7"/>
    <mergeCell ref="B8:B10"/>
    <mergeCell ref="C8:C10"/>
    <mergeCell ref="AQ1:AT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3DCDB-50AB-420C-9AFD-F4F4BADC0A75}">
  <dimension ref="A1:IV98"/>
  <sheetViews>
    <sheetView topLeftCell="A47" zoomScaleNormal="100" workbookViewId="0">
      <pane xSplit="3" topLeftCell="BL1" activePane="topRight" state="frozen"/>
      <selection pane="topRight" activeCell="B2" sqref="B2"/>
    </sheetView>
  </sheetViews>
  <sheetFormatPr baseColWidth="10" defaultColWidth="11.42578125" defaultRowHeight="15" x14ac:dyDescent="0.25"/>
  <cols>
    <col min="1" max="1" width="3" style="3" bestFit="1" customWidth="1"/>
    <col min="2" max="2" width="45.85546875" customWidth="1"/>
    <col min="3" max="3" width="18.28515625" style="8" customWidth="1"/>
    <col min="4" max="16" width="3.7109375" customWidth="1"/>
    <col min="17" max="19" width="11.42578125" customWidth="1"/>
    <col min="20" max="20" width="12.28515625" style="29" bestFit="1" customWidth="1"/>
    <col min="21" max="21" width="17.140625" style="29" bestFit="1" customWidth="1"/>
    <col min="22" max="59" width="3.7109375" hidden="1" customWidth="1"/>
    <col min="60" max="60" width="5" style="21" bestFit="1" customWidth="1"/>
    <col min="61" max="61" width="29" style="40" bestFit="1" customWidth="1"/>
    <col min="62" max="62" width="11.42578125" style="8"/>
    <col min="63" max="63" width="6.28515625" style="8" bestFit="1" customWidth="1"/>
    <col min="64" max="64" width="14.5703125" style="37" bestFit="1" customWidth="1"/>
    <col min="65" max="65" width="6.28515625" style="8" bestFit="1" customWidth="1"/>
    <col min="66" max="66" width="14.5703125" style="37" bestFit="1" customWidth="1"/>
    <col min="67" max="67" width="6.28515625" style="8" bestFit="1" customWidth="1"/>
    <col min="68" max="68" width="17.42578125" style="37" bestFit="1" customWidth="1"/>
    <col min="69" max="69" width="7.42578125" style="8" customWidth="1"/>
    <col min="70" max="70" width="15.5703125" bestFit="1" customWidth="1"/>
    <col min="71" max="71" width="6.28515625" style="8" bestFit="1" customWidth="1"/>
    <col min="72" max="72" width="15.140625" bestFit="1" customWidth="1"/>
    <col min="73" max="73" width="11.5703125" style="8" bestFit="1" customWidth="1"/>
    <col min="74" max="74" width="15.5703125" bestFit="1" customWidth="1"/>
    <col min="75" max="75" width="6.28515625" style="8" bestFit="1" customWidth="1"/>
    <col min="76" max="76" width="15.5703125" bestFit="1" customWidth="1"/>
    <col min="77" max="77" width="6.28515625" style="8" bestFit="1" customWidth="1"/>
    <col min="78" max="78" width="15.5703125" bestFit="1" customWidth="1"/>
    <col min="79" max="79" width="6.28515625" style="8" bestFit="1" customWidth="1"/>
    <col min="80" max="80" width="15.140625" bestFit="1" customWidth="1"/>
    <col min="81" max="81" width="6.28515625" style="8" bestFit="1" customWidth="1"/>
    <col min="82" max="82" width="17.28515625" bestFit="1" customWidth="1"/>
    <col min="83" max="83" width="6.28515625" style="8" bestFit="1" customWidth="1"/>
    <col min="84" max="84" width="18.28515625" bestFit="1" customWidth="1"/>
    <col min="85" max="85" width="6.28515625" style="8" bestFit="1" customWidth="1"/>
    <col min="86" max="86" width="16.85546875" bestFit="1" customWidth="1"/>
    <col min="87" max="87" width="15.85546875" bestFit="1" customWidth="1"/>
    <col min="88" max="88" width="16.85546875" style="37" bestFit="1" customWidth="1"/>
    <col min="89" max="89" width="14.140625" bestFit="1" customWidth="1"/>
  </cols>
  <sheetData>
    <row r="1" spans="1:256" ht="15.75" thickBot="1" x14ac:dyDescent="0.3">
      <c r="V1" s="371" t="s">
        <v>87</v>
      </c>
      <c r="W1" s="372"/>
      <c r="X1" s="372"/>
      <c r="Y1" s="372"/>
      <c r="Z1" s="371" t="s">
        <v>88</v>
      </c>
      <c r="AA1" s="372"/>
      <c r="AB1" s="372"/>
      <c r="AC1" s="372"/>
      <c r="AD1" s="371" t="s">
        <v>89</v>
      </c>
      <c r="AE1" s="372"/>
      <c r="AF1" s="372"/>
      <c r="AG1" s="372"/>
      <c r="AH1" s="371" t="s">
        <v>90</v>
      </c>
      <c r="AI1" s="372"/>
      <c r="AJ1" s="372"/>
      <c r="AK1" s="372"/>
      <c r="AL1" s="371" t="s">
        <v>91</v>
      </c>
      <c r="AM1" s="372"/>
      <c r="AN1" s="372"/>
      <c r="AO1" s="372"/>
      <c r="AP1" s="371" t="s">
        <v>92</v>
      </c>
      <c r="AQ1" s="372"/>
      <c r="AR1" s="372"/>
      <c r="AS1" s="372"/>
      <c r="AT1" s="371" t="s">
        <v>93</v>
      </c>
      <c r="AU1" s="372"/>
      <c r="AV1" s="372"/>
      <c r="AW1" s="372"/>
      <c r="AX1" s="371" t="s">
        <v>94</v>
      </c>
      <c r="AY1" s="372"/>
      <c r="AZ1" s="372"/>
      <c r="BA1" s="372"/>
      <c r="BB1" s="371" t="s">
        <v>95</v>
      </c>
      <c r="BC1" s="372"/>
      <c r="BD1" s="372"/>
      <c r="BE1" s="372"/>
      <c r="BI1" s="179" t="s">
        <v>121</v>
      </c>
      <c r="BJ1" s="285">
        <f>+BV68</f>
        <v>47</v>
      </c>
      <c r="BK1" s="395" t="s">
        <v>87</v>
      </c>
      <c r="BL1" s="396"/>
      <c r="BM1" s="395" t="s">
        <v>88</v>
      </c>
      <c r="BN1" s="397"/>
      <c r="BO1" s="395" t="s">
        <v>89</v>
      </c>
      <c r="BP1" s="397"/>
      <c r="BQ1" s="395" t="s">
        <v>90</v>
      </c>
      <c r="BR1" s="397"/>
      <c r="BS1" s="395" t="s">
        <v>91</v>
      </c>
      <c r="BT1" s="397"/>
      <c r="BU1" s="395" t="s">
        <v>92</v>
      </c>
      <c r="BV1" s="397"/>
      <c r="BW1" s="395" t="s">
        <v>93</v>
      </c>
      <c r="BX1" s="397"/>
      <c r="BY1" s="395" t="s">
        <v>94</v>
      </c>
      <c r="BZ1" s="397"/>
      <c r="CA1" s="395" t="s">
        <v>95</v>
      </c>
      <c r="CB1" s="397"/>
      <c r="CC1" s="395" t="s">
        <v>127</v>
      </c>
      <c r="CD1" s="397"/>
      <c r="CE1" s="395" t="s">
        <v>129</v>
      </c>
      <c r="CF1" s="397"/>
      <c r="CG1" s="395" t="s">
        <v>128</v>
      </c>
      <c r="CH1" s="397"/>
    </row>
    <row r="2" spans="1:256" ht="75.75" customHeight="1" x14ac:dyDescent="0.25">
      <c r="B2" s="195" t="s">
        <v>205</v>
      </c>
      <c r="C2" s="182" t="s">
        <v>31</v>
      </c>
      <c r="D2" s="183" t="s">
        <v>30</v>
      </c>
      <c r="E2" s="183" t="s">
        <v>32</v>
      </c>
      <c r="F2" s="183" t="s">
        <v>33</v>
      </c>
      <c r="G2" s="183" t="s">
        <v>34</v>
      </c>
      <c r="H2" s="183" t="s">
        <v>35</v>
      </c>
      <c r="I2" s="183" t="s">
        <v>36</v>
      </c>
      <c r="J2" s="183" t="s">
        <v>39</v>
      </c>
      <c r="K2" s="183" t="s">
        <v>37</v>
      </c>
      <c r="L2" s="183" t="s">
        <v>9</v>
      </c>
      <c r="M2" s="183" t="s">
        <v>40</v>
      </c>
      <c r="N2" s="183" t="s">
        <v>10</v>
      </c>
      <c r="O2" s="183" t="s">
        <v>22</v>
      </c>
      <c r="P2" s="183" t="s">
        <v>38</v>
      </c>
      <c r="Q2" s="345" t="s">
        <v>254</v>
      </c>
      <c r="R2" s="345" t="s">
        <v>253</v>
      </c>
      <c r="S2" s="345" t="s">
        <v>255</v>
      </c>
      <c r="T2" s="184" t="s">
        <v>84</v>
      </c>
      <c r="U2" s="184" t="s">
        <v>84</v>
      </c>
      <c r="V2" s="185" t="s">
        <v>44</v>
      </c>
      <c r="W2" s="185" t="s">
        <v>45</v>
      </c>
      <c r="X2" s="185" t="s">
        <v>46</v>
      </c>
      <c r="Y2" s="185" t="s">
        <v>47</v>
      </c>
      <c r="Z2" s="186" t="s">
        <v>48</v>
      </c>
      <c r="AA2" s="186" t="s">
        <v>49</v>
      </c>
      <c r="AB2" s="186" t="s">
        <v>50</v>
      </c>
      <c r="AC2" s="186" t="s">
        <v>51</v>
      </c>
      <c r="AD2" s="185" t="s">
        <v>52</v>
      </c>
      <c r="AE2" s="185" t="s">
        <v>53</v>
      </c>
      <c r="AF2" s="185" t="s">
        <v>54</v>
      </c>
      <c r="AG2" s="185" t="s">
        <v>55</v>
      </c>
      <c r="AH2" s="186" t="s">
        <v>56</v>
      </c>
      <c r="AI2" s="186" t="s">
        <v>57</v>
      </c>
      <c r="AJ2" s="186" t="s">
        <v>58</v>
      </c>
      <c r="AK2" s="186" t="s">
        <v>59</v>
      </c>
      <c r="AL2" s="185" t="s">
        <v>60</v>
      </c>
      <c r="AM2" s="185" t="s">
        <v>61</v>
      </c>
      <c r="AN2" s="185" t="s">
        <v>62</v>
      </c>
      <c r="AO2" s="185" t="s">
        <v>63</v>
      </c>
      <c r="AP2" s="186" t="s">
        <v>64</v>
      </c>
      <c r="AQ2" s="186" t="s">
        <v>65</v>
      </c>
      <c r="AR2" s="186" t="s">
        <v>66</v>
      </c>
      <c r="AS2" s="186" t="s">
        <v>67</v>
      </c>
      <c r="AT2" s="185" t="s">
        <v>68</v>
      </c>
      <c r="AU2" s="185" t="s">
        <v>69</v>
      </c>
      <c r="AV2" s="185" t="s">
        <v>70</v>
      </c>
      <c r="AW2" s="185" t="s">
        <v>71</v>
      </c>
      <c r="AX2" s="186" t="s">
        <v>72</v>
      </c>
      <c r="AY2" s="186" t="s">
        <v>73</v>
      </c>
      <c r="AZ2" s="186" t="s">
        <v>74</v>
      </c>
      <c r="BA2" s="186" t="s">
        <v>75</v>
      </c>
      <c r="BB2" s="185" t="s">
        <v>76</v>
      </c>
      <c r="BC2" s="185" t="s">
        <v>77</v>
      </c>
      <c r="BD2" s="185" t="s">
        <v>78</v>
      </c>
      <c r="BE2" s="185" t="s">
        <v>79</v>
      </c>
      <c r="BF2" s="186" t="s">
        <v>80</v>
      </c>
      <c r="BG2" s="186" t="s">
        <v>81</v>
      </c>
      <c r="BH2" s="187" t="s">
        <v>213</v>
      </c>
      <c r="BK2" s="206" t="s">
        <v>117</v>
      </c>
      <c r="BL2" s="224" t="s">
        <v>220</v>
      </c>
      <c r="BM2" s="206" t="s">
        <v>117</v>
      </c>
      <c r="BN2" s="207" t="s">
        <v>220</v>
      </c>
      <c r="BO2" s="206" t="s">
        <v>117</v>
      </c>
      <c r="BP2" s="207" t="s">
        <v>220</v>
      </c>
      <c r="BQ2" s="206" t="s">
        <v>117</v>
      </c>
      <c r="BR2" s="207" t="s">
        <v>220</v>
      </c>
      <c r="BS2" s="206" t="s">
        <v>117</v>
      </c>
      <c r="BT2" s="207" t="s">
        <v>220</v>
      </c>
      <c r="BU2" s="206" t="s">
        <v>117</v>
      </c>
      <c r="BV2" s="207" t="s">
        <v>220</v>
      </c>
      <c r="BW2" s="206" t="s">
        <v>117</v>
      </c>
      <c r="BX2" s="207" t="s">
        <v>220</v>
      </c>
      <c r="BY2" s="206" t="s">
        <v>117</v>
      </c>
      <c r="BZ2" s="207" t="s">
        <v>220</v>
      </c>
      <c r="CA2" s="206" t="s">
        <v>117</v>
      </c>
      <c r="CB2" s="207" t="s">
        <v>220</v>
      </c>
      <c r="CC2" s="206" t="s">
        <v>117</v>
      </c>
      <c r="CD2" s="207" t="s">
        <v>220</v>
      </c>
      <c r="CE2" s="206" t="s">
        <v>117</v>
      </c>
      <c r="CF2" s="207" t="s">
        <v>220</v>
      </c>
      <c r="CG2" s="206" t="s">
        <v>117</v>
      </c>
      <c r="CH2" s="224" t="s">
        <v>220</v>
      </c>
      <c r="CI2" s="61" t="s">
        <v>223</v>
      </c>
      <c r="CJ2" s="1" t="s">
        <v>225</v>
      </c>
    </row>
    <row r="3" spans="1:256" s="3" customFormat="1" x14ac:dyDescent="0.25">
      <c r="A3" s="3">
        <v>1</v>
      </c>
      <c r="B3" s="196" t="s">
        <v>209</v>
      </c>
      <c r="C3" s="10" t="s">
        <v>208</v>
      </c>
      <c r="D3" s="23"/>
      <c r="E3" s="6"/>
      <c r="F3" s="6"/>
      <c r="G3" s="6"/>
      <c r="H3" s="6"/>
      <c r="I3" s="6"/>
      <c r="J3" s="6"/>
      <c r="K3" s="6"/>
      <c r="L3" s="6"/>
      <c r="M3" s="6"/>
      <c r="N3" s="6"/>
      <c r="O3" s="6"/>
      <c r="P3" s="6"/>
      <c r="Q3" s="346">
        <f>+$BJ$1*R3</f>
        <v>11750</v>
      </c>
      <c r="R3" s="346">
        <v>250</v>
      </c>
      <c r="S3" s="346">
        <f>+Q3*14.25</f>
        <v>167437.5</v>
      </c>
      <c r="T3" s="30">
        <v>2250</v>
      </c>
      <c r="U3" s="33">
        <v>2250</v>
      </c>
      <c r="V3" s="14">
        <v>2</v>
      </c>
      <c r="W3" s="14">
        <v>2</v>
      </c>
      <c r="X3" s="14">
        <v>2</v>
      </c>
      <c r="Y3" s="14">
        <v>2</v>
      </c>
      <c r="Z3" s="10">
        <v>2</v>
      </c>
      <c r="AA3" s="10">
        <v>2</v>
      </c>
      <c r="AB3" s="10">
        <v>2</v>
      </c>
      <c r="AC3" s="10">
        <v>2</v>
      </c>
      <c r="AD3" s="14">
        <v>2</v>
      </c>
      <c r="AE3" s="14">
        <v>2</v>
      </c>
      <c r="AF3" s="14">
        <v>2</v>
      </c>
      <c r="AG3" s="14">
        <v>2</v>
      </c>
      <c r="AH3" s="10">
        <v>2</v>
      </c>
      <c r="AI3" s="10">
        <v>2</v>
      </c>
      <c r="AJ3" s="10">
        <v>2</v>
      </c>
      <c r="AK3" s="10">
        <v>2</v>
      </c>
      <c r="AL3" s="14">
        <v>2</v>
      </c>
      <c r="AM3" s="14">
        <v>2</v>
      </c>
      <c r="AN3" s="14">
        <v>2</v>
      </c>
      <c r="AO3" s="14">
        <v>2</v>
      </c>
      <c r="AP3" s="10">
        <v>2</v>
      </c>
      <c r="AQ3" s="10">
        <v>2</v>
      </c>
      <c r="AR3" s="10">
        <v>2</v>
      </c>
      <c r="AS3" s="10">
        <v>2</v>
      </c>
      <c r="AT3" s="14">
        <v>2</v>
      </c>
      <c r="AU3" s="14">
        <v>2</v>
      </c>
      <c r="AV3" s="14">
        <v>2</v>
      </c>
      <c r="AW3" s="14">
        <v>2</v>
      </c>
      <c r="AX3" s="10">
        <v>2</v>
      </c>
      <c r="AY3" s="10">
        <v>2</v>
      </c>
      <c r="AZ3" s="10">
        <v>2</v>
      </c>
      <c r="BA3" s="10">
        <v>2</v>
      </c>
      <c r="BB3" s="14">
        <v>2</v>
      </c>
      <c r="BC3" s="14">
        <v>2</v>
      </c>
      <c r="BD3" s="14">
        <v>2</v>
      </c>
      <c r="BE3" s="14">
        <v>2</v>
      </c>
      <c r="BF3" s="10">
        <v>2</v>
      </c>
      <c r="BG3" s="10">
        <v>2</v>
      </c>
      <c r="BH3" s="22">
        <v>114</v>
      </c>
      <c r="BI3" s="188" t="s">
        <v>210</v>
      </c>
      <c r="BJ3" s="194">
        <v>250</v>
      </c>
      <c r="BK3" s="74">
        <v>8</v>
      </c>
      <c r="BL3" s="194">
        <f>+$BJ$3*$BJ$1</f>
        <v>11750</v>
      </c>
      <c r="BM3" s="74">
        <v>8</v>
      </c>
      <c r="BN3" s="208">
        <f>+$BJ$3*$BJ$1</f>
        <v>11750</v>
      </c>
      <c r="BO3" s="74">
        <v>8</v>
      </c>
      <c r="BP3" s="208">
        <f>+$BJ$3*$BJ$1</f>
        <v>11750</v>
      </c>
      <c r="BQ3" s="74">
        <v>8</v>
      </c>
      <c r="BR3" s="208">
        <f>+$BJ$3*$BJ$1</f>
        <v>11750</v>
      </c>
      <c r="BS3" s="74">
        <v>8</v>
      </c>
      <c r="BT3" s="208">
        <f>+$BJ$3*$BJ$1</f>
        <v>11750</v>
      </c>
      <c r="BU3" s="74">
        <v>8</v>
      </c>
      <c r="BV3" s="208">
        <f>+$BJ$3*$BJ$1</f>
        <v>11750</v>
      </c>
      <c r="BW3" s="74">
        <v>8</v>
      </c>
      <c r="BX3" s="208">
        <f>+$BJ$3*$BJ$1</f>
        <v>11750</v>
      </c>
      <c r="BY3" s="74">
        <v>8</v>
      </c>
      <c r="BZ3" s="208">
        <f>+$BJ$3*$BJ$1</f>
        <v>11750</v>
      </c>
      <c r="CA3" s="74">
        <v>8</v>
      </c>
      <c r="CB3" s="208">
        <f>+$BJ$3*$BJ$1</f>
        <v>11750</v>
      </c>
      <c r="CC3" s="74">
        <v>4</v>
      </c>
      <c r="CD3" s="208">
        <f>+$BJ$3*$BJ$1*0.5</f>
        <v>5875</v>
      </c>
      <c r="CE3" s="74">
        <v>8</v>
      </c>
      <c r="CF3" s="208">
        <f>+$BJ$3*$BJ$1</f>
        <v>11750</v>
      </c>
      <c r="CG3" s="74">
        <v>6</v>
      </c>
      <c r="CH3" s="194">
        <f>+$BJ$3*$BJ$1*0.75</f>
        <v>8812.5</v>
      </c>
      <c r="CI3" s="64">
        <f>+BK3+BM3+BO3+BQ3+BS3+BU3+BW3+BY3+CA3+CC3+CE3*4+CG3</f>
        <v>114</v>
      </c>
      <c r="CJ3" s="181">
        <f>+BL3+BN3+BP3+BR3+BT3+BV3+BX3+BZ3+CB3+CD3+CF3*4+0.75*CF3</f>
        <v>167437.5</v>
      </c>
      <c r="CK3" s="354">
        <f>+CJ3</f>
        <v>167437.5</v>
      </c>
      <c r="CL3" s="3" t="s">
        <v>257</v>
      </c>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row>
    <row r="4" spans="1:256" s="3" customFormat="1" x14ac:dyDescent="0.25">
      <c r="A4" s="3">
        <v>2</v>
      </c>
      <c r="B4" s="197" t="s">
        <v>4</v>
      </c>
      <c r="C4" s="62"/>
      <c r="D4" s="6"/>
      <c r="E4" s="23"/>
      <c r="F4" s="23"/>
      <c r="G4" s="4"/>
      <c r="H4" s="4"/>
      <c r="I4" s="6"/>
      <c r="J4" s="6"/>
      <c r="K4" s="6"/>
      <c r="L4" s="6"/>
      <c r="M4" s="6"/>
      <c r="N4" s="6"/>
      <c r="O4" s="6"/>
      <c r="P4" s="6"/>
      <c r="Q4" s="346">
        <f t="shared" ref="Q4:Q5" si="0">+$BJ$1*R4</f>
        <v>8930</v>
      </c>
      <c r="R4" s="346">
        <v>190</v>
      </c>
      <c r="S4" s="346">
        <f>+Q4*5</f>
        <v>44650</v>
      </c>
      <c r="T4" s="30">
        <v>190</v>
      </c>
      <c r="U4" s="33">
        <v>190</v>
      </c>
      <c r="V4" s="14">
        <v>1</v>
      </c>
      <c r="W4" s="14"/>
      <c r="X4" s="14"/>
      <c r="Y4" s="14"/>
      <c r="Z4" s="10"/>
      <c r="AA4" s="10"/>
      <c r="AB4" s="10"/>
      <c r="AC4" s="10"/>
      <c r="AD4" s="14"/>
      <c r="AE4" s="14"/>
      <c r="AF4" s="14"/>
      <c r="AG4" s="14"/>
      <c r="AH4" s="10">
        <v>1</v>
      </c>
      <c r="AI4" s="10"/>
      <c r="AJ4" s="10"/>
      <c r="AK4" s="10"/>
      <c r="AL4" s="14"/>
      <c r="AM4" s="14"/>
      <c r="AN4" s="14"/>
      <c r="AO4" s="14"/>
      <c r="AP4" s="10"/>
      <c r="AQ4" s="10"/>
      <c r="AR4" s="10"/>
      <c r="AS4" s="10"/>
      <c r="AT4" s="14">
        <v>1</v>
      </c>
      <c r="AU4" s="14"/>
      <c r="AV4" s="14"/>
      <c r="AW4" s="14"/>
      <c r="AX4" s="10"/>
      <c r="AY4" s="10"/>
      <c r="AZ4" s="10"/>
      <c r="BA4" s="10"/>
      <c r="BB4" s="14"/>
      <c r="BC4" s="14"/>
      <c r="BD4" s="14"/>
      <c r="BE4" s="14"/>
      <c r="BF4" s="10">
        <v>1</v>
      </c>
      <c r="BG4" s="10"/>
      <c r="BH4" s="22">
        <v>5</v>
      </c>
      <c r="BI4" s="180" t="s">
        <v>119</v>
      </c>
      <c r="BJ4" s="194">
        <v>190</v>
      </c>
      <c r="BK4" s="74">
        <v>1</v>
      </c>
      <c r="BL4" s="194">
        <f>+$BJ4*$BJ$1</f>
        <v>8930</v>
      </c>
      <c r="BM4" s="248"/>
      <c r="BN4" s="211"/>
      <c r="BO4" s="248"/>
      <c r="BP4" s="211"/>
      <c r="BQ4" s="74">
        <v>1</v>
      </c>
      <c r="BR4" s="208">
        <f>+$BJ4*$BJ$1</f>
        <v>8930</v>
      </c>
      <c r="BS4" s="248"/>
      <c r="BT4" s="211"/>
      <c r="BU4" s="248"/>
      <c r="BV4" s="211"/>
      <c r="BW4" s="74">
        <v>1</v>
      </c>
      <c r="BX4" s="208">
        <f>+$BJ4*$BJ$1</f>
        <v>8930</v>
      </c>
      <c r="BY4" s="248"/>
      <c r="BZ4" s="211"/>
      <c r="CA4" s="248"/>
      <c r="CB4" s="211"/>
      <c r="CC4" s="74">
        <v>1</v>
      </c>
      <c r="CD4" s="208">
        <f>+$BJ4*$BJ$1</f>
        <v>8930</v>
      </c>
      <c r="CE4" s="248"/>
      <c r="CF4" s="211"/>
      <c r="CG4" s="74">
        <v>1</v>
      </c>
      <c r="CH4" s="194">
        <f>+$BJ4*$BJ$1</f>
        <v>8930</v>
      </c>
      <c r="CI4" s="64">
        <f>+BK4+BM4+BO4+BQ4+BS4+BU4+BW4+BY4+CA4+CC4+CE4*4+CG4</f>
        <v>5</v>
      </c>
      <c r="CJ4" s="181">
        <f>+BL4+BN4+BP4+BR4+BT4+BV4+BX4+BZ4+CB4+CD4+CF4*4+CH4</f>
        <v>44650</v>
      </c>
      <c r="CK4" s="354">
        <f t="shared" ref="CK4:CK5" si="1">+CJ4</f>
        <v>44650</v>
      </c>
      <c r="CL4" s="3" t="s">
        <v>258</v>
      </c>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row>
    <row r="5" spans="1:256" s="3" customFormat="1" x14ac:dyDescent="0.25">
      <c r="A5" s="3">
        <v>3</v>
      </c>
      <c r="B5" s="198" t="s">
        <v>7</v>
      </c>
      <c r="C5" s="10" t="s">
        <v>24</v>
      </c>
      <c r="D5" s="4"/>
      <c r="E5" s="23"/>
      <c r="F5" s="6"/>
      <c r="G5" s="6"/>
      <c r="H5" s="6"/>
      <c r="I5" s="6"/>
      <c r="J5" s="6"/>
      <c r="K5" s="6"/>
      <c r="L5" s="6"/>
      <c r="M5" s="6"/>
      <c r="N5" s="6"/>
      <c r="O5" s="6"/>
      <c r="P5" s="6"/>
      <c r="Q5" s="346">
        <f t="shared" si="0"/>
        <v>4700</v>
      </c>
      <c r="R5" s="346">
        <v>100</v>
      </c>
      <c r="S5" s="346">
        <f>+Q5*10</f>
        <v>47000</v>
      </c>
      <c r="T5" s="30">
        <v>1000</v>
      </c>
      <c r="U5" s="33">
        <v>1000</v>
      </c>
      <c r="V5" s="14">
        <v>1</v>
      </c>
      <c r="W5" s="14">
        <v>1</v>
      </c>
      <c r="X5" s="14">
        <v>1</v>
      </c>
      <c r="Y5" s="14">
        <v>1</v>
      </c>
      <c r="Z5" s="10">
        <v>1</v>
      </c>
      <c r="AA5" s="10">
        <v>1</v>
      </c>
      <c r="AB5" s="10">
        <v>1</v>
      </c>
      <c r="AC5" s="10">
        <v>1</v>
      </c>
      <c r="AD5" s="14">
        <v>1</v>
      </c>
      <c r="AE5" s="14">
        <v>1</v>
      </c>
      <c r="AF5" s="14">
        <v>1</v>
      </c>
      <c r="AG5" s="14">
        <v>1</v>
      </c>
      <c r="AH5" s="10">
        <v>1</v>
      </c>
      <c r="AI5" s="10">
        <v>1</v>
      </c>
      <c r="AJ5" s="10">
        <v>1</v>
      </c>
      <c r="AK5" s="10">
        <v>1</v>
      </c>
      <c r="AL5" s="14">
        <v>1</v>
      </c>
      <c r="AM5" s="14">
        <v>1</v>
      </c>
      <c r="AN5" s="14">
        <v>1</v>
      </c>
      <c r="AO5" s="14">
        <v>1</v>
      </c>
      <c r="AP5" s="10">
        <v>1</v>
      </c>
      <c r="AQ5" s="10">
        <v>1</v>
      </c>
      <c r="AR5" s="10">
        <v>1</v>
      </c>
      <c r="AS5" s="10">
        <v>1</v>
      </c>
      <c r="AT5" s="14">
        <v>1</v>
      </c>
      <c r="AU5" s="14">
        <v>1</v>
      </c>
      <c r="AV5" s="14">
        <v>1</v>
      </c>
      <c r="AW5" s="14">
        <v>1</v>
      </c>
      <c r="AX5" s="10">
        <v>1</v>
      </c>
      <c r="AY5" s="10">
        <v>1</v>
      </c>
      <c r="AZ5" s="10">
        <v>1</v>
      </c>
      <c r="BA5" s="10">
        <v>1</v>
      </c>
      <c r="BB5" s="14">
        <v>1</v>
      </c>
      <c r="BC5" s="14">
        <v>1</v>
      </c>
      <c r="BD5" s="14">
        <v>1</v>
      </c>
      <c r="BE5" s="14">
        <v>1</v>
      </c>
      <c r="BF5" s="10">
        <v>1</v>
      </c>
      <c r="BG5" s="10">
        <v>1</v>
      </c>
      <c r="BH5" s="22">
        <v>38</v>
      </c>
      <c r="BI5" s="188" t="s">
        <v>210</v>
      </c>
      <c r="BJ5" s="194">
        <v>100</v>
      </c>
      <c r="BK5" s="74">
        <v>4</v>
      </c>
      <c r="BL5" s="194">
        <f>+BJ5*$BJ$1</f>
        <v>4700</v>
      </c>
      <c r="BM5" s="74">
        <v>4</v>
      </c>
      <c r="BN5" s="208">
        <f>+$BJ$5*$BJ$1</f>
        <v>4700</v>
      </c>
      <c r="BO5" s="74">
        <v>4</v>
      </c>
      <c r="BP5" s="208">
        <f>+$BJ$5*$BJ$1</f>
        <v>4700</v>
      </c>
      <c r="BQ5" s="74">
        <v>4</v>
      </c>
      <c r="BR5" s="208">
        <f>+$BJ$5*$BJ$1</f>
        <v>4700</v>
      </c>
      <c r="BS5" s="74">
        <v>4</v>
      </c>
      <c r="BT5" s="208">
        <f>+$BJ$5*$BJ$1</f>
        <v>4700</v>
      </c>
      <c r="BU5" s="74">
        <v>4</v>
      </c>
      <c r="BV5" s="208">
        <f>+$BJ$5*$BJ$1</f>
        <v>4700</v>
      </c>
      <c r="BW5" s="74">
        <v>4</v>
      </c>
      <c r="BX5" s="208">
        <f>+$BJ$5*$BJ$1</f>
        <v>4700</v>
      </c>
      <c r="BY5" s="74">
        <v>4</v>
      </c>
      <c r="BZ5" s="208">
        <f>+$BJ$5*$BJ$1</f>
        <v>4700</v>
      </c>
      <c r="CA5" s="74">
        <v>4</v>
      </c>
      <c r="CB5" s="208">
        <f>+$BJ$5*$BJ$1</f>
        <v>4700</v>
      </c>
      <c r="CC5" s="74">
        <v>4</v>
      </c>
      <c r="CD5" s="208">
        <f>+$BJ$5*$BJ$1</f>
        <v>4700</v>
      </c>
      <c r="CE5" s="74"/>
      <c r="CF5" s="234"/>
      <c r="CG5" s="74"/>
      <c r="CH5" s="255"/>
      <c r="CI5" s="64">
        <f>+BK5+BM5+BO5+BQ5+BS5+BU5+BW5+BY5+CA5+CC5+CE5*4+CG5</f>
        <v>40</v>
      </c>
      <c r="CJ5" s="181">
        <f t="shared" ref="CJ5:CJ47" si="2">+BL5+BN5+BP5+BR5+BT5+BV5+BX5+BZ5+CB5+CD5+CF5*4+CH5</f>
        <v>47000</v>
      </c>
      <c r="CK5" s="354">
        <f t="shared" si="1"/>
        <v>47000</v>
      </c>
      <c r="CL5" s="3" t="s">
        <v>259</v>
      </c>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row>
    <row r="6" spans="1:256" s="3" customFormat="1" x14ac:dyDescent="0.25">
      <c r="A6" s="3">
        <v>4</v>
      </c>
      <c r="B6" s="377" t="s">
        <v>192</v>
      </c>
      <c r="C6" s="378" t="s">
        <v>23</v>
      </c>
      <c r="D6" s="24"/>
      <c r="E6" s="24"/>
      <c r="F6" s="24"/>
      <c r="G6" s="23"/>
      <c r="H6" s="6"/>
      <c r="I6" s="6"/>
      <c r="J6" s="6"/>
      <c r="K6" s="6"/>
      <c r="L6" s="6"/>
      <c r="M6" s="6"/>
      <c r="N6" s="6"/>
      <c r="O6" s="6"/>
      <c r="P6" s="6"/>
      <c r="Q6" s="347">
        <f>+U6*BH6</f>
        <v>10500</v>
      </c>
      <c r="R6" s="348"/>
      <c r="S6" s="346">
        <f>+Q6</f>
        <v>10500</v>
      </c>
      <c r="T6" s="181">
        <v>200</v>
      </c>
      <c r="U6" s="181">
        <v>350</v>
      </c>
      <c r="V6" s="14">
        <v>10</v>
      </c>
      <c r="W6" s="14">
        <v>10</v>
      </c>
      <c r="X6" s="15">
        <v>10</v>
      </c>
      <c r="Y6" s="14"/>
      <c r="Z6" s="10"/>
      <c r="AA6" s="10"/>
      <c r="AB6" s="10"/>
      <c r="AC6" s="10"/>
      <c r="AD6" s="14"/>
      <c r="AE6" s="14"/>
      <c r="AF6" s="14"/>
      <c r="AG6" s="14"/>
      <c r="AH6" s="10"/>
      <c r="AI6" s="10"/>
      <c r="AJ6" s="10"/>
      <c r="AK6" s="10"/>
      <c r="AL6" s="14"/>
      <c r="AM6" s="14"/>
      <c r="AN6" s="14"/>
      <c r="AO6" s="14"/>
      <c r="AP6" s="10"/>
      <c r="AQ6" s="10"/>
      <c r="AR6" s="10"/>
      <c r="AS6" s="10"/>
      <c r="AT6" s="14"/>
      <c r="AU6" s="14"/>
      <c r="AV6" s="14"/>
      <c r="AW6" s="14"/>
      <c r="AX6" s="10"/>
      <c r="AY6" s="10"/>
      <c r="AZ6" s="10"/>
      <c r="BA6" s="10"/>
      <c r="BB6" s="14"/>
      <c r="BC6" s="14"/>
      <c r="BD6" s="14"/>
      <c r="BE6" s="14"/>
      <c r="BF6" s="10"/>
      <c r="BG6" s="10"/>
      <c r="BH6" s="22">
        <v>30</v>
      </c>
      <c r="BI6" s="189" t="s">
        <v>86</v>
      </c>
      <c r="BJ6" s="249">
        <f>+U6</f>
        <v>350</v>
      </c>
      <c r="BK6" s="74">
        <f>+BH6</f>
        <v>30</v>
      </c>
      <c r="BL6" s="225">
        <f>+U6*BK6</f>
        <v>10500</v>
      </c>
      <c r="BM6" s="229"/>
      <c r="BN6" s="230"/>
      <c r="BO6" s="229"/>
      <c r="BP6" s="230"/>
      <c r="BQ6" s="229"/>
      <c r="BR6" s="230"/>
      <c r="BS6" s="229"/>
      <c r="BT6" s="230"/>
      <c r="BU6" s="229"/>
      <c r="BV6" s="230"/>
      <c r="BW6" s="229"/>
      <c r="BX6" s="230"/>
      <c r="BY6" s="229"/>
      <c r="BZ6" s="230"/>
      <c r="CA6" s="229"/>
      <c r="CB6" s="230"/>
      <c r="CC6" s="229"/>
      <c r="CD6" s="230"/>
      <c r="CE6" s="229"/>
      <c r="CF6" s="230"/>
      <c r="CG6" s="229"/>
      <c r="CH6" s="228"/>
      <c r="CI6" s="64">
        <f>+BK6+BM6+BO6+BQ6+BS6+BU6+BW6+BY6+CA6+CC6+CE6*4+CG6</f>
        <v>30</v>
      </c>
      <c r="CJ6" s="181">
        <f t="shared" si="2"/>
        <v>10500</v>
      </c>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row>
    <row r="7" spans="1:256" x14ac:dyDescent="0.25">
      <c r="B7" s="377"/>
      <c r="C7" s="378"/>
      <c r="D7" s="175"/>
      <c r="E7" s="175"/>
      <c r="F7" s="175"/>
      <c r="G7" s="175"/>
      <c r="H7" s="175"/>
      <c r="I7" s="175"/>
      <c r="J7" s="175"/>
      <c r="K7" s="175"/>
      <c r="L7" s="175"/>
      <c r="M7" s="175"/>
      <c r="N7" s="175"/>
      <c r="O7" s="175"/>
      <c r="P7" s="175"/>
      <c r="Q7" s="349">
        <f>+BJ7*$BJ$1</f>
        <v>44650</v>
      </c>
      <c r="R7" s="350"/>
      <c r="S7" s="351">
        <f>+Q7</f>
        <v>44650</v>
      </c>
      <c r="T7" s="30">
        <v>950</v>
      </c>
      <c r="U7" s="33">
        <v>950</v>
      </c>
      <c r="V7" s="175"/>
      <c r="W7" s="175"/>
      <c r="X7" s="175"/>
      <c r="Y7" s="175"/>
      <c r="Z7" s="175"/>
      <c r="AA7" s="175"/>
      <c r="AB7" s="175"/>
      <c r="AC7" s="175"/>
      <c r="AD7" s="175"/>
      <c r="AE7" s="175"/>
      <c r="AF7" s="175"/>
      <c r="AG7" s="175"/>
      <c r="AH7" s="175"/>
      <c r="AI7" s="175"/>
      <c r="AJ7" s="175"/>
      <c r="AK7" s="175"/>
      <c r="AL7" s="175"/>
      <c r="AM7" s="175"/>
      <c r="AN7" s="175"/>
      <c r="AO7" s="175"/>
      <c r="AP7" s="175"/>
      <c r="AQ7" s="175"/>
      <c r="AR7" s="175"/>
      <c r="AS7" s="175"/>
      <c r="AT7" s="175"/>
      <c r="AU7" s="175"/>
      <c r="AV7" s="175"/>
      <c r="AW7" s="175"/>
      <c r="AX7" s="175"/>
      <c r="AY7" s="175"/>
      <c r="AZ7" s="175"/>
      <c r="BA7" s="175"/>
      <c r="BB7" s="175"/>
      <c r="BC7" s="175"/>
      <c r="BD7" s="175"/>
      <c r="BE7" s="175"/>
      <c r="BF7" s="175"/>
      <c r="BG7" s="175"/>
      <c r="BH7" s="62"/>
      <c r="BI7" s="190" t="s">
        <v>211</v>
      </c>
      <c r="BJ7" s="194">
        <f>+U7</f>
        <v>950</v>
      </c>
      <c r="BK7" s="125"/>
      <c r="BL7" s="226">
        <f>+BJ7*$BJ$1</f>
        <v>44650</v>
      </c>
      <c r="BM7" s="231"/>
      <c r="BN7" s="230"/>
      <c r="BO7" s="231"/>
      <c r="BP7" s="230"/>
      <c r="BQ7" s="231"/>
      <c r="BR7" s="230"/>
      <c r="BS7" s="231"/>
      <c r="BT7" s="230"/>
      <c r="BU7" s="231"/>
      <c r="BV7" s="230"/>
      <c r="BW7" s="231"/>
      <c r="BX7" s="230"/>
      <c r="BY7" s="231"/>
      <c r="BZ7" s="230"/>
      <c r="CA7" s="231"/>
      <c r="CB7" s="230"/>
      <c r="CC7" s="231"/>
      <c r="CD7" s="230"/>
      <c r="CE7" s="231"/>
      <c r="CF7" s="230"/>
      <c r="CG7" s="231"/>
      <c r="CH7" s="228"/>
      <c r="CI7" s="63"/>
      <c r="CJ7" s="181">
        <f t="shared" si="2"/>
        <v>44650</v>
      </c>
    </row>
    <row r="8" spans="1:256" s="3" customFormat="1" x14ac:dyDescent="0.25">
      <c r="A8" s="3">
        <v>5</v>
      </c>
      <c r="B8" s="379" t="s">
        <v>193</v>
      </c>
      <c r="C8" s="378" t="s">
        <v>2</v>
      </c>
      <c r="D8" s="6"/>
      <c r="E8" s="6"/>
      <c r="F8" s="6"/>
      <c r="G8" s="23"/>
      <c r="H8" s="23"/>
      <c r="I8" s="6"/>
      <c r="J8" s="6"/>
      <c r="K8" s="6"/>
      <c r="L8" s="6"/>
      <c r="M8" s="6"/>
      <c r="N8" s="6"/>
      <c r="O8" s="6"/>
      <c r="P8" s="6"/>
      <c r="Q8" s="347">
        <f>+U8*BH8</f>
        <v>7000</v>
      </c>
      <c r="R8" s="348"/>
      <c r="S8" s="346">
        <f>+Q8</f>
        <v>7000</v>
      </c>
      <c r="T8" s="181">
        <v>250</v>
      </c>
      <c r="U8" s="181">
        <v>350</v>
      </c>
      <c r="V8" s="14">
        <v>10</v>
      </c>
      <c r="W8" s="15">
        <v>10</v>
      </c>
      <c r="X8" s="14"/>
      <c r="Y8" s="14"/>
      <c r="Z8" s="10"/>
      <c r="AA8" s="10"/>
      <c r="AB8" s="10"/>
      <c r="AC8" s="10"/>
      <c r="AD8" s="14"/>
      <c r="AE8" s="14"/>
      <c r="AF8" s="14"/>
      <c r="AG8" s="14"/>
      <c r="AH8" s="10"/>
      <c r="AI8" s="10"/>
      <c r="AJ8" s="10"/>
      <c r="AK8" s="10"/>
      <c r="AL8" s="14"/>
      <c r="AM8" s="14"/>
      <c r="AN8" s="14"/>
      <c r="AO8" s="14"/>
      <c r="AP8" s="10"/>
      <c r="AQ8" s="10"/>
      <c r="AR8" s="10"/>
      <c r="AS8" s="10"/>
      <c r="AT8" s="14"/>
      <c r="AU8" s="14"/>
      <c r="AV8" s="14"/>
      <c r="AW8" s="14"/>
      <c r="AX8" s="10"/>
      <c r="AY8" s="10"/>
      <c r="AZ8" s="10"/>
      <c r="BA8" s="10"/>
      <c r="BB8" s="14"/>
      <c r="BC8" s="14"/>
      <c r="BD8" s="14"/>
      <c r="BE8" s="14"/>
      <c r="BF8" s="10"/>
      <c r="BG8" s="10"/>
      <c r="BH8" s="22">
        <v>20</v>
      </c>
      <c r="BI8" s="191" t="s">
        <v>86</v>
      </c>
      <c r="BJ8" s="249">
        <f>+U8</f>
        <v>350</v>
      </c>
      <c r="BK8" s="74">
        <f>+BH8</f>
        <v>20</v>
      </c>
      <c r="BL8" s="225">
        <f>+U8*BK8</f>
        <v>7000</v>
      </c>
      <c r="BM8" s="229"/>
      <c r="BN8" s="230"/>
      <c r="BO8" s="229"/>
      <c r="BP8" s="230"/>
      <c r="BQ8" s="229"/>
      <c r="BR8" s="230"/>
      <c r="BS8" s="229"/>
      <c r="BT8" s="230"/>
      <c r="BU8" s="229"/>
      <c r="BV8" s="230"/>
      <c r="BW8" s="229"/>
      <c r="BX8" s="230"/>
      <c r="BY8" s="229"/>
      <c r="BZ8" s="230"/>
      <c r="CA8" s="229"/>
      <c r="CB8" s="230"/>
      <c r="CC8" s="229"/>
      <c r="CD8" s="230"/>
      <c r="CE8" s="229"/>
      <c r="CF8" s="230"/>
      <c r="CG8" s="229"/>
      <c r="CH8" s="228"/>
      <c r="CI8" s="64">
        <f>+BK8+BM8+BO8+BQ8+BS8+BU8+BW8+BY8+CA8+CC8+CE8*4+CG8</f>
        <v>20</v>
      </c>
      <c r="CJ8" s="181">
        <f t="shared" si="2"/>
        <v>7000</v>
      </c>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row>
    <row r="9" spans="1:256" s="3" customFormat="1" x14ac:dyDescent="0.25">
      <c r="B9" s="379"/>
      <c r="C9" s="378"/>
      <c r="D9" s="4"/>
      <c r="E9" s="4"/>
      <c r="F9" s="4"/>
      <c r="G9" s="4"/>
      <c r="H9" s="4"/>
      <c r="I9" s="4"/>
      <c r="J9" s="4"/>
      <c r="K9" s="4"/>
      <c r="L9" s="4"/>
      <c r="M9" s="4"/>
      <c r="N9" s="4"/>
      <c r="O9" s="4"/>
      <c r="P9" s="4"/>
      <c r="Q9" s="349">
        <f>+BJ9*$BJ$1</f>
        <v>0</v>
      </c>
      <c r="R9" s="348"/>
      <c r="S9" s="352"/>
      <c r="T9" s="30">
        <v>0</v>
      </c>
      <c r="U9" s="30">
        <v>0</v>
      </c>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62"/>
      <c r="BI9" s="190" t="s">
        <v>214</v>
      </c>
      <c r="BJ9" s="194">
        <v>0</v>
      </c>
      <c r="BK9" s="125"/>
      <c r="BL9" s="226">
        <f>+BJ9*$BJ$1</f>
        <v>0</v>
      </c>
      <c r="BM9" s="231"/>
      <c r="BN9" s="232"/>
      <c r="BO9" s="229"/>
      <c r="BP9" s="230"/>
      <c r="BQ9" s="229"/>
      <c r="BR9" s="230"/>
      <c r="BS9" s="229"/>
      <c r="BT9" s="230"/>
      <c r="BU9" s="229"/>
      <c r="BV9" s="230"/>
      <c r="BW9" s="229"/>
      <c r="BX9" s="230"/>
      <c r="BY9" s="229"/>
      <c r="BZ9" s="230"/>
      <c r="CA9" s="229"/>
      <c r="CB9" s="230"/>
      <c r="CC9" s="229"/>
      <c r="CD9" s="230"/>
      <c r="CE9" s="229"/>
      <c r="CF9" s="230"/>
      <c r="CG9" s="229"/>
      <c r="CH9" s="228"/>
      <c r="CI9" s="63"/>
      <c r="CJ9" s="181">
        <f t="shared" si="2"/>
        <v>0</v>
      </c>
    </row>
    <row r="10" spans="1:256" s="3" customFormat="1" x14ac:dyDescent="0.25">
      <c r="B10" s="379"/>
      <c r="C10" s="378"/>
      <c r="D10" s="4"/>
      <c r="E10" s="4"/>
      <c r="F10" s="4"/>
      <c r="G10" s="4"/>
      <c r="H10" s="4"/>
      <c r="I10" s="4"/>
      <c r="J10" s="4"/>
      <c r="K10" s="4"/>
      <c r="L10" s="4"/>
      <c r="M10" s="4"/>
      <c r="N10" s="4"/>
      <c r="O10" s="4"/>
      <c r="P10" s="4"/>
      <c r="Q10" s="349">
        <f>+BJ10*$BJ$1</f>
        <v>27260</v>
      </c>
      <c r="R10" s="350"/>
      <c r="S10" s="351">
        <f t="shared" ref="S10:S38" si="3">+Q10</f>
        <v>27260</v>
      </c>
      <c r="T10" s="30">
        <v>580</v>
      </c>
      <c r="U10" s="33">
        <v>580</v>
      </c>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62"/>
      <c r="BI10" s="190" t="s">
        <v>215</v>
      </c>
      <c r="BJ10" s="194">
        <v>580</v>
      </c>
      <c r="BK10" s="125"/>
      <c r="BL10" s="226">
        <f>+BJ10*$BJ$1</f>
        <v>27260</v>
      </c>
      <c r="BM10" s="231"/>
      <c r="BN10" s="230"/>
      <c r="BO10" s="229"/>
      <c r="BP10" s="230"/>
      <c r="BQ10" s="229"/>
      <c r="BR10" s="230"/>
      <c r="BS10" s="229"/>
      <c r="BT10" s="230"/>
      <c r="BU10" s="229"/>
      <c r="BV10" s="230"/>
      <c r="BW10" s="229"/>
      <c r="BX10" s="230"/>
      <c r="BY10" s="229"/>
      <c r="BZ10" s="230"/>
      <c r="CA10" s="229"/>
      <c r="CB10" s="230"/>
      <c r="CC10" s="229"/>
      <c r="CD10" s="230"/>
      <c r="CE10" s="229"/>
      <c r="CF10" s="230"/>
      <c r="CG10" s="229"/>
      <c r="CH10" s="228"/>
      <c r="CI10" s="63"/>
      <c r="CJ10" s="181">
        <f t="shared" si="2"/>
        <v>27260</v>
      </c>
      <c r="CM10" s="3" t="s">
        <v>260</v>
      </c>
    </row>
    <row r="11" spans="1:256" s="3" customFormat="1" x14ac:dyDescent="0.25">
      <c r="A11" s="3">
        <v>5</v>
      </c>
      <c r="B11" s="379" t="s">
        <v>103</v>
      </c>
      <c r="C11" s="378" t="s">
        <v>104</v>
      </c>
      <c r="D11" s="6"/>
      <c r="E11" s="6"/>
      <c r="F11" s="6"/>
      <c r="G11" s="23"/>
      <c r="H11" s="23"/>
      <c r="I11" s="6"/>
      <c r="J11" s="6"/>
      <c r="K11" s="6"/>
      <c r="L11" s="6"/>
      <c r="M11" s="6"/>
      <c r="N11" s="6"/>
      <c r="O11" s="6"/>
      <c r="P11" s="6"/>
      <c r="Q11" s="347">
        <f>+U11*BH11</f>
        <v>7000</v>
      </c>
      <c r="R11" s="348"/>
      <c r="S11" s="346">
        <f t="shared" si="3"/>
        <v>7000</v>
      </c>
      <c r="T11" s="181">
        <v>250</v>
      </c>
      <c r="U11" s="181">
        <v>350</v>
      </c>
      <c r="V11" s="14">
        <v>10</v>
      </c>
      <c r="W11" s="15">
        <v>10</v>
      </c>
      <c r="X11" s="14"/>
      <c r="Y11" s="14"/>
      <c r="Z11" s="10"/>
      <c r="AA11" s="10"/>
      <c r="AB11" s="10"/>
      <c r="AC11" s="10"/>
      <c r="AD11" s="14"/>
      <c r="AE11" s="14"/>
      <c r="AF11" s="14"/>
      <c r="AG11" s="14"/>
      <c r="AH11" s="10"/>
      <c r="AI11" s="10"/>
      <c r="AJ11" s="10"/>
      <c r="AK11" s="10"/>
      <c r="AL11" s="14"/>
      <c r="AM11" s="14"/>
      <c r="AN11" s="14"/>
      <c r="AO11" s="14"/>
      <c r="AP11" s="10"/>
      <c r="AQ11" s="10"/>
      <c r="AR11" s="10"/>
      <c r="AS11" s="10"/>
      <c r="AT11" s="14"/>
      <c r="AU11" s="14"/>
      <c r="AV11" s="14"/>
      <c r="AW11" s="14"/>
      <c r="AX11" s="10"/>
      <c r="AY11" s="10"/>
      <c r="AZ11" s="10"/>
      <c r="BA11" s="10"/>
      <c r="BB11" s="14"/>
      <c r="BC11" s="14"/>
      <c r="BD11" s="14"/>
      <c r="BE11" s="14"/>
      <c r="BF11" s="10"/>
      <c r="BG11" s="10"/>
      <c r="BH11" s="22">
        <v>20</v>
      </c>
      <c r="BI11" s="189" t="s">
        <v>86</v>
      </c>
      <c r="BJ11" s="249">
        <f t="shared" ref="BJ11:BJ25" si="4">+U11</f>
        <v>350</v>
      </c>
      <c r="BK11" s="74">
        <f>+BH11</f>
        <v>20</v>
      </c>
      <c r="BL11" s="225">
        <f>+U11*BK11</f>
        <v>7000</v>
      </c>
      <c r="BM11" s="229"/>
      <c r="BN11" s="230"/>
      <c r="BO11" s="229"/>
      <c r="BP11" s="230"/>
      <c r="BQ11" s="229"/>
      <c r="BR11" s="230"/>
      <c r="BS11" s="229"/>
      <c r="BT11" s="230"/>
      <c r="BU11" s="229"/>
      <c r="BV11" s="230"/>
      <c r="BW11" s="229"/>
      <c r="BX11" s="230"/>
      <c r="BY11" s="229"/>
      <c r="BZ11" s="230"/>
      <c r="CA11" s="229"/>
      <c r="CB11" s="230"/>
      <c r="CC11" s="229"/>
      <c r="CD11" s="230"/>
      <c r="CE11" s="229"/>
      <c r="CF11" s="230"/>
      <c r="CG11" s="229"/>
      <c r="CH11" s="228"/>
      <c r="CI11" s="64">
        <f>+BK11+BM11+BO11+BQ11+BS11+BU11+BW11+BY11+CA11+CC11+CE11*4+CG11</f>
        <v>20</v>
      </c>
      <c r="CJ11" s="181">
        <f t="shared" si="2"/>
        <v>7000</v>
      </c>
      <c r="CK11" s="9"/>
      <c r="CL11" s="9"/>
      <c r="CM11" s="353">
        <f>+Q10+Q16+Q26+Q38</f>
        <v>109040</v>
      </c>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row>
    <row r="12" spans="1:256" s="3" customFormat="1" x14ac:dyDescent="0.25">
      <c r="B12" s="379"/>
      <c r="C12" s="378"/>
      <c r="D12" s="4"/>
      <c r="E12" s="4"/>
      <c r="F12" s="4"/>
      <c r="G12" s="4"/>
      <c r="H12" s="4"/>
      <c r="I12" s="4"/>
      <c r="J12" s="4"/>
      <c r="K12" s="4"/>
      <c r="L12" s="4"/>
      <c r="M12" s="4"/>
      <c r="N12" s="4"/>
      <c r="O12" s="4"/>
      <c r="P12" s="4"/>
      <c r="Q12" s="349">
        <f>+BJ12*$BJ$1</f>
        <v>70500</v>
      </c>
      <c r="R12" s="350"/>
      <c r="S12" s="351">
        <f t="shared" si="3"/>
        <v>70500</v>
      </c>
      <c r="T12" s="30">
        <v>1500</v>
      </c>
      <c r="U12" s="33">
        <v>1500</v>
      </c>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62"/>
      <c r="BI12" s="190" t="s">
        <v>211</v>
      </c>
      <c r="BJ12" s="194">
        <f t="shared" si="4"/>
        <v>1500</v>
      </c>
      <c r="BK12" s="125"/>
      <c r="BL12" s="226">
        <f>+BJ12*$BJ$1</f>
        <v>70500</v>
      </c>
      <c r="BM12" s="231"/>
      <c r="BN12" s="232"/>
      <c r="BO12" s="229"/>
      <c r="BP12" s="230"/>
      <c r="BQ12" s="229"/>
      <c r="BR12" s="230"/>
      <c r="BS12" s="229"/>
      <c r="BT12" s="230"/>
      <c r="BU12" s="229"/>
      <c r="BV12" s="230"/>
      <c r="BW12" s="229"/>
      <c r="BX12" s="230"/>
      <c r="BY12" s="229"/>
      <c r="BZ12" s="230"/>
      <c r="CA12" s="229"/>
      <c r="CB12" s="230"/>
      <c r="CC12" s="229"/>
      <c r="CD12" s="230"/>
      <c r="CE12" s="229"/>
      <c r="CF12" s="230"/>
      <c r="CG12" s="229"/>
      <c r="CH12" s="228"/>
      <c r="CI12" s="63"/>
      <c r="CJ12" s="181">
        <f t="shared" si="2"/>
        <v>70500</v>
      </c>
      <c r="CM12" s="9">
        <f>+CM11/20</f>
        <v>5452</v>
      </c>
    </row>
    <row r="13" spans="1:256" s="3" customFormat="1" x14ac:dyDescent="0.25">
      <c r="A13" s="3">
        <v>6</v>
      </c>
      <c r="B13" s="380" t="s">
        <v>3</v>
      </c>
      <c r="C13" s="378" t="s">
        <v>2</v>
      </c>
      <c r="D13" s="6"/>
      <c r="E13" s="6"/>
      <c r="F13" s="23"/>
      <c r="G13" s="6"/>
      <c r="H13" s="6"/>
      <c r="I13" s="6"/>
      <c r="J13" s="6"/>
      <c r="K13" s="6"/>
      <c r="L13" s="6"/>
      <c r="M13" s="6"/>
      <c r="N13" s="6"/>
      <c r="O13" s="6"/>
      <c r="P13" s="6"/>
      <c r="Q13" s="347">
        <f>+U13*BH13</f>
        <v>3500</v>
      </c>
      <c r="R13" s="348"/>
      <c r="S13" s="346">
        <f t="shared" si="3"/>
        <v>3500</v>
      </c>
      <c r="T13" s="181">
        <v>200</v>
      </c>
      <c r="U13" s="181">
        <v>350</v>
      </c>
      <c r="V13" s="14"/>
      <c r="W13" s="14"/>
      <c r="X13" s="15">
        <v>10</v>
      </c>
      <c r="Y13" s="14"/>
      <c r="Z13" s="10"/>
      <c r="AA13" s="10"/>
      <c r="AB13" s="10"/>
      <c r="AC13" s="10"/>
      <c r="AD13" s="14"/>
      <c r="AE13" s="14"/>
      <c r="AF13" s="14"/>
      <c r="AG13" s="14"/>
      <c r="AH13" s="10"/>
      <c r="AI13" s="10"/>
      <c r="AJ13" s="10"/>
      <c r="AK13" s="10"/>
      <c r="AL13" s="14"/>
      <c r="AM13" s="14"/>
      <c r="AN13" s="14"/>
      <c r="AO13" s="14"/>
      <c r="AP13" s="10"/>
      <c r="AQ13" s="10"/>
      <c r="AR13" s="10"/>
      <c r="AS13" s="10"/>
      <c r="AT13" s="14"/>
      <c r="AU13" s="14"/>
      <c r="AV13" s="14"/>
      <c r="AW13" s="14"/>
      <c r="AX13" s="10"/>
      <c r="AY13" s="10"/>
      <c r="AZ13" s="10"/>
      <c r="BA13" s="10"/>
      <c r="BB13" s="14"/>
      <c r="BC13" s="14"/>
      <c r="BD13" s="14"/>
      <c r="BE13" s="14"/>
      <c r="BF13" s="10"/>
      <c r="BG13" s="10"/>
      <c r="BH13" s="22">
        <v>10</v>
      </c>
      <c r="BI13" s="189" t="s">
        <v>86</v>
      </c>
      <c r="BJ13" s="249">
        <f t="shared" si="4"/>
        <v>350</v>
      </c>
      <c r="BK13" s="74">
        <f>+BH13</f>
        <v>10</v>
      </c>
      <c r="BL13" s="225">
        <f>+U13*BK13</f>
        <v>3500</v>
      </c>
      <c r="BM13" s="229"/>
      <c r="BN13" s="230"/>
      <c r="BO13" s="229"/>
      <c r="BP13" s="230"/>
      <c r="BQ13" s="229"/>
      <c r="BR13" s="230"/>
      <c r="BS13" s="229"/>
      <c r="BT13" s="230"/>
      <c r="BU13" s="229"/>
      <c r="BV13" s="230"/>
      <c r="BW13" s="229"/>
      <c r="BX13" s="230"/>
      <c r="BY13" s="229"/>
      <c r="BZ13" s="230"/>
      <c r="CA13" s="229"/>
      <c r="CB13" s="230"/>
      <c r="CC13" s="229"/>
      <c r="CD13" s="230"/>
      <c r="CE13" s="229"/>
      <c r="CF13" s="230"/>
      <c r="CG13" s="229"/>
      <c r="CH13" s="228"/>
      <c r="CI13" s="64">
        <f>+BK13+BM13+BO13+BQ13+BS13+BU13+BW13+BY13+CA13+CC13+CE13*4+CG13</f>
        <v>10</v>
      </c>
      <c r="CJ13" s="181">
        <f t="shared" si="2"/>
        <v>3500</v>
      </c>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c r="IR13" s="9"/>
      <c r="IS13" s="9"/>
      <c r="IT13" s="9"/>
      <c r="IU13" s="9"/>
      <c r="IV13" s="9"/>
    </row>
    <row r="14" spans="1:256" s="3" customFormat="1" x14ac:dyDescent="0.25">
      <c r="B14" s="380"/>
      <c r="C14" s="378"/>
      <c r="D14" s="4"/>
      <c r="E14" s="4"/>
      <c r="F14" s="4"/>
      <c r="G14" s="4"/>
      <c r="H14" s="4"/>
      <c r="I14" s="4"/>
      <c r="J14" s="4"/>
      <c r="K14" s="4"/>
      <c r="L14" s="4"/>
      <c r="M14" s="4"/>
      <c r="N14" s="4"/>
      <c r="O14" s="4"/>
      <c r="P14" s="4"/>
      <c r="Q14" s="349">
        <f>+BJ14*$BJ$1</f>
        <v>0</v>
      </c>
      <c r="R14" s="350"/>
      <c r="S14" s="351">
        <f t="shared" si="3"/>
        <v>0</v>
      </c>
      <c r="T14" s="30">
        <v>0</v>
      </c>
      <c r="U14" s="30">
        <v>0</v>
      </c>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62"/>
      <c r="BI14" s="190" t="s">
        <v>211</v>
      </c>
      <c r="BJ14" s="194">
        <f t="shared" si="4"/>
        <v>0</v>
      </c>
      <c r="BK14" s="125"/>
      <c r="BL14" s="226">
        <f>+BJ14*$BJ$1</f>
        <v>0</v>
      </c>
      <c r="BM14" s="231"/>
      <c r="BN14" s="232"/>
      <c r="BO14" s="229"/>
      <c r="BP14" s="230"/>
      <c r="BQ14" s="229"/>
      <c r="BR14" s="230"/>
      <c r="BS14" s="229"/>
      <c r="BT14" s="230"/>
      <c r="BU14" s="229"/>
      <c r="BV14" s="230"/>
      <c r="BW14" s="229"/>
      <c r="BX14" s="230"/>
      <c r="BY14" s="229"/>
      <c r="BZ14" s="230"/>
      <c r="CA14" s="229"/>
      <c r="CB14" s="230"/>
      <c r="CC14" s="229"/>
      <c r="CD14" s="230"/>
      <c r="CE14" s="229"/>
      <c r="CF14" s="230"/>
      <c r="CG14" s="229"/>
      <c r="CH14" s="228"/>
      <c r="CI14" s="63"/>
      <c r="CJ14" s="181">
        <f t="shared" si="2"/>
        <v>0</v>
      </c>
    </row>
    <row r="15" spans="1:256" s="3" customFormat="1" x14ac:dyDescent="0.25">
      <c r="A15" s="3">
        <v>7</v>
      </c>
      <c r="B15" s="381" t="s">
        <v>194</v>
      </c>
      <c r="C15" s="378" t="s">
        <v>2</v>
      </c>
      <c r="D15" s="6"/>
      <c r="E15" s="6"/>
      <c r="F15" s="6"/>
      <c r="G15" s="23"/>
      <c r="H15" s="23"/>
      <c r="I15" s="6"/>
      <c r="J15" s="6"/>
      <c r="K15" s="6"/>
      <c r="L15" s="6"/>
      <c r="M15" s="6"/>
      <c r="N15" s="6"/>
      <c r="O15" s="6"/>
      <c r="P15" s="6"/>
      <c r="Q15" s="347">
        <f>+U15*BH15</f>
        <v>3500</v>
      </c>
      <c r="R15" s="348"/>
      <c r="S15" s="346">
        <f t="shared" si="3"/>
        <v>3500</v>
      </c>
      <c r="T15" s="181">
        <v>250</v>
      </c>
      <c r="U15" s="181">
        <v>350</v>
      </c>
      <c r="V15" s="14"/>
      <c r="W15" s="14"/>
      <c r="X15" s="14"/>
      <c r="Y15" s="14">
        <v>4</v>
      </c>
      <c r="Z15" s="14">
        <v>4</v>
      </c>
      <c r="AA15" s="15">
        <v>2</v>
      </c>
      <c r="AB15" s="10"/>
      <c r="AC15" s="10"/>
      <c r="AD15" s="14"/>
      <c r="AE15" s="14"/>
      <c r="AF15" s="14"/>
      <c r="AG15" s="14"/>
      <c r="AH15" s="10"/>
      <c r="AI15" s="10"/>
      <c r="AJ15" s="10"/>
      <c r="AK15" s="10"/>
      <c r="AL15" s="14"/>
      <c r="AM15" s="14"/>
      <c r="AN15" s="14"/>
      <c r="AO15" s="14"/>
      <c r="AP15" s="10"/>
      <c r="AQ15" s="10"/>
      <c r="AR15" s="10"/>
      <c r="AS15" s="10"/>
      <c r="AT15" s="14"/>
      <c r="AU15" s="14"/>
      <c r="AV15" s="14"/>
      <c r="AW15" s="14"/>
      <c r="AX15" s="10"/>
      <c r="AY15" s="10"/>
      <c r="AZ15" s="10"/>
      <c r="BA15" s="10"/>
      <c r="BB15" s="14"/>
      <c r="BC15" s="14"/>
      <c r="BD15" s="14"/>
      <c r="BE15" s="14"/>
      <c r="BF15" s="10"/>
      <c r="BG15" s="10"/>
      <c r="BH15" s="22">
        <v>10</v>
      </c>
      <c r="BI15" s="189" t="s">
        <v>86</v>
      </c>
      <c r="BJ15" s="249">
        <f t="shared" si="4"/>
        <v>350</v>
      </c>
      <c r="BK15" s="74">
        <v>4</v>
      </c>
      <c r="BL15" s="194">
        <f>+U15*BK15</f>
        <v>1400</v>
      </c>
      <c r="BM15" s="74">
        <v>6</v>
      </c>
      <c r="BN15" s="209">
        <f>+U15*BM15</f>
        <v>2100</v>
      </c>
      <c r="BO15" s="229"/>
      <c r="BP15" s="230"/>
      <c r="BQ15" s="229"/>
      <c r="BR15" s="230"/>
      <c r="BS15" s="229"/>
      <c r="BT15" s="230"/>
      <c r="BU15" s="229"/>
      <c r="BV15" s="230"/>
      <c r="BW15" s="229"/>
      <c r="BX15" s="230"/>
      <c r="BY15" s="229"/>
      <c r="BZ15" s="230"/>
      <c r="CA15" s="229"/>
      <c r="CB15" s="230"/>
      <c r="CC15" s="229"/>
      <c r="CD15" s="230"/>
      <c r="CE15" s="229"/>
      <c r="CF15" s="230"/>
      <c r="CG15" s="229"/>
      <c r="CH15" s="228"/>
      <c r="CI15" s="64">
        <f>+BK15+BM15+BO15+BQ15+BS15+BU15+BW15+BY15+CA15+CC15+CE15*4+CG15</f>
        <v>10</v>
      </c>
      <c r="CJ15" s="181">
        <f t="shared" si="2"/>
        <v>3500</v>
      </c>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row>
    <row r="16" spans="1:256" s="3" customFormat="1" x14ac:dyDescent="0.25">
      <c r="B16" s="381"/>
      <c r="C16" s="378"/>
      <c r="D16" s="4"/>
      <c r="E16" s="4"/>
      <c r="F16" s="4"/>
      <c r="G16" s="4"/>
      <c r="H16" s="4"/>
      <c r="I16" s="4"/>
      <c r="J16" s="4"/>
      <c r="K16" s="4"/>
      <c r="L16" s="4"/>
      <c r="M16" s="4"/>
      <c r="N16" s="4"/>
      <c r="O16" s="4"/>
      <c r="P16" s="4"/>
      <c r="Q16" s="349">
        <f>+BJ16*$BJ$1</f>
        <v>27260</v>
      </c>
      <c r="R16" s="350"/>
      <c r="S16" s="351">
        <f t="shared" si="3"/>
        <v>27260</v>
      </c>
      <c r="T16" s="30">
        <v>580</v>
      </c>
      <c r="U16" s="33">
        <v>580</v>
      </c>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62"/>
      <c r="BI16" s="190" t="s">
        <v>211</v>
      </c>
      <c r="BJ16" s="194">
        <f t="shared" si="4"/>
        <v>580</v>
      </c>
      <c r="BK16" s="125"/>
      <c r="BL16" s="227"/>
      <c r="BM16" s="125"/>
      <c r="BN16" s="210">
        <f>+BJ16*$BJ$1</f>
        <v>27260</v>
      </c>
      <c r="BO16" s="229"/>
      <c r="BP16" s="230"/>
      <c r="BQ16" s="229"/>
      <c r="BR16" s="230"/>
      <c r="BS16" s="229"/>
      <c r="BT16" s="230"/>
      <c r="BU16" s="229"/>
      <c r="BV16" s="230"/>
      <c r="BW16" s="229"/>
      <c r="BX16" s="230"/>
      <c r="BY16" s="229"/>
      <c r="BZ16" s="230"/>
      <c r="CA16" s="229"/>
      <c r="CB16" s="230"/>
      <c r="CC16" s="229"/>
      <c r="CD16" s="230"/>
      <c r="CE16" s="229"/>
      <c r="CF16" s="230"/>
      <c r="CG16" s="229"/>
      <c r="CH16" s="228"/>
      <c r="CI16" s="63"/>
      <c r="CJ16" s="181">
        <f t="shared" si="2"/>
        <v>27260</v>
      </c>
    </row>
    <row r="17" spans="1:256" s="3" customFormat="1" x14ac:dyDescent="0.25">
      <c r="A17" s="3">
        <v>8</v>
      </c>
      <c r="B17" s="382" t="s">
        <v>195</v>
      </c>
      <c r="C17" s="378" t="s">
        <v>21</v>
      </c>
      <c r="D17" s="4"/>
      <c r="E17" s="4"/>
      <c r="F17" s="4"/>
      <c r="G17" s="23"/>
      <c r="H17" s="4"/>
      <c r="I17" s="23"/>
      <c r="J17" s="4"/>
      <c r="K17" s="4"/>
      <c r="L17" s="4"/>
      <c r="M17" s="4"/>
      <c r="N17" s="4"/>
      <c r="O17" s="23"/>
      <c r="P17" s="4"/>
      <c r="Q17" s="347">
        <f>+U17*BH17</f>
        <v>23100</v>
      </c>
      <c r="R17" s="348"/>
      <c r="S17" s="346">
        <f t="shared" si="3"/>
        <v>23100</v>
      </c>
      <c r="T17" s="181">
        <v>200</v>
      </c>
      <c r="U17" s="181">
        <v>350</v>
      </c>
      <c r="V17" s="14"/>
      <c r="W17" s="14"/>
      <c r="X17" s="14">
        <v>10</v>
      </c>
      <c r="Y17" s="14">
        <v>16</v>
      </c>
      <c r="Z17" s="10">
        <v>16</v>
      </c>
      <c r="AA17" s="10">
        <v>10</v>
      </c>
      <c r="AB17" s="10">
        <v>10</v>
      </c>
      <c r="AC17" s="15">
        <v>4</v>
      </c>
      <c r="AD17" s="14"/>
      <c r="AE17" s="14"/>
      <c r="AF17" s="14"/>
      <c r="AG17" s="14"/>
      <c r="AH17" s="10"/>
      <c r="AI17" s="10"/>
      <c r="AJ17" s="10"/>
      <c r="AK17" s="10"/>
      <c r="AL17" s="14"/>
      <c r="AM17" s="14"/>
      <c r="AN17" s="14"/>
      <c r="AO17" s="14"/>
      <c r="AP17" s="10"/>
      <c r="AQ17" s="10"/>
      <c r="AR17" s="10"/>
      <c r="AS17" s="10"/>
      <c r="AT17" s="14"/>
      <c r="AU17" s="14"/>
      <c r="AV17" s="14"/>
      <c r="AW17" s="14"/>
      <c r="AX17" s="10"/>
      <c r="AY17" s="10"/>
      <c r="AZ17" s="10"/>
      <c r="BA17" s="10"/>
      <c r="BB17" s="14"/>
      <c r="BC17" s="14"/>
      <c r="BD17" s="14"/>
      <c r="BE17" s="14"/>
      <c r="BF17" s="10"/>
      <c r="BG17" s="10"/>
      <c r="BH17" s="22">
        <v>66</v>
      </c>
      <c r="BI17" s="189" t="s">
        <v>86</v>
      </c>
      <c r="BJ17" s="249">
        <f t="shared" si="4"/>
        <v>350</v>
      </c>
      <c r="BK17" s="74">
        <v>26</v>
      </c>
      <c r="BL17" s="194">
        <f>+U17*BK17</f>
        <v>9100</v>
      </c>
      <c r="BM17" s="74">
        <v>40</v>
      </c>
      <c r="BN17" s="209">
        <f>+U17*BM17</f>
        <v>14000</v>
      </c>
      <c r="BO17" s="229"/>
      <c r="BP17" s="230"/>
      <c r="BQ17" s="229"/>
      <c r="BR17" s="230"/>
      <c r="BS17" s="229"/>
      <c r="BT17" s="230"/>
      <c r="BU17" s="229"/>
      <c r="BV17" s="230"/>
      <c r="BW17" s="229"/>
      <c r="BX17" s="230"/>
      <c r="BY17" s="229"/>
      <c r="BZ17" s="230"/>
      <c r="CA17" s="229"/>
      <c r="CB17" s="230"/>
      <c r="CC17" s="229"/>
      <c r="CD17" s="230"/>
      <c r="CE17" s="229"/>
      <c r="CF17" s="230"/>
      <c r="CG17" s="229"/>
      <c r="CH17" s="228"/>
      <c r="CI17" s="64">
        <f>+BK17+BM17+BO17+BQ17+BS17+BU17+BW17+BY17+CA17+CC17+CE17*4+CG17</f>
        <v>66</v>
      </c>
      <c r="CJ17" s="181">
        <f t="shared" si="2"/>
        <v>23100</v>
      </c>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row>
    <row r="18" spans="1:256" s="3" customFormat="1" x14ac:dyDescent="0.25">
      <c r="B18" s="382"/>
      <c r="C18" s="378"/>
      <c r="D18" s="4"/>
      <c r="E18" s="4"/>
      <c r="F18" s="4"/>
      <c r="G18" s="4"/>
      <c r="H18" s="4"/>
      <c r="I18" s="4"/>
      <c r="J18" s="4"/>
      <c r="K18" s="4"/>
      <c r="L18" s="4"/>
      <c r="M18" s="4"/>
      <c r="N18" s="4"/>
      <c r="O18" s="4"/>
      <c r="P18" s="4"/>
      <c r="Q18" s="349">
        <f>+BJ18*$BJ$1</f>
        <v>84600</v>
      </c>
      <c r="R18" s="350"/>
      <c r="S18" s="351">
        <f t="shared" si="3"/>
        <v>84600</v>
      </c>
      <c r="T18" s="30">
        <v>1800</v>
      </c>
      <c r="U18" s="33">
        <v>1800</v>
      </c>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62"/>
      <c r="BI18" s="190" t="s">
        <v>211</v>
      </c>
      <c r="BJ18" s="194">
        <f t="shared" si="4"/>
        <v>1800</v>
      </c>
      <c r="BK18" s="125"/>
      <c r="BL18" s="227"/>
      <c r="BM18" s="125"/>
      <c r="BN18" s="210">
        <f>+BJ18*$BJ$1</f>
        <v>84600</v>
      </c>
      <c r="BO18" s="229"/>
      <c r="BP18" s="230"/>
      <c r="BQ18" s="229"/>
      <c r="BR18" s="230"/>
      <c r="BS18" s="229"/>
      <c r="BT18" s="230"/>
      <c r="BU18" s="229"/>
      <c r="BV18" s="230"/>
      <c r="BW18" s="229"/>
      <c r="BX18" s="230"/>
      <c r="BY18" s="229"/>
      <c r="BZ18" s="230"/>
      <c r="CA18" s="229"/>
      <c r="CB18" s="230"/>
      <c r="CC18" s="229"/>
      <c r="CD18" s="230"/>
      <c r="CE18" s="229"/>
      <c r="CF18" s="230"/>
      <c r="CG18" s="229"/>
      <c r="CH18" s="228"/>
      <c r="CI18" s="63"/>
      <c r="CJ18" s="181">
        <f t="shared" si="2"/>
        <v>84600</v>
      </c>
    </row>
    <row r="19" spans="1:256" s="3" customFormat="1" x14ac:dyDescent="0.25">
      <c r="A19" s="3">
        <v>9</v>
      </c>
      <c r="B19" s="389" t="s">
        <v>196</v>
      </c>
      <c r="C19" s="387" t="s">
        <v>19</v>
      </c>
      <c r="D19" s="6"/>
      <c r="E19" s="6"/>
      <c r="F19" s="6"/>
      <c r="G19" s="6"/>
      <c r="H19" s="6"/>
      <c r="I19" s="23"/>
      <c r="J19" s="23"/>
      <c r="K19" s="23"/>
      <c r="L19" s="23"/>
      <c r="M19" s="23"/>
      <c r="N19" s="23"/>
      <c r="O19" s="23"/>
      <c r="P19" s="23"/>
      <c r="Q19" s="347">
        <f>+U19*BH19</f>
        <v>8400</v>
      </c>
      <c r="R19" s="348"/>
      <c r="S19" s="346">
        <f t="shared" si="3"/>
        <v>8400</v>
      </c>
      <c r="T19" s="181">
        <v>250</v>
      </c>
      <c r="U19" s="181">
        <v>350</v>
      </c>
      <c r="V19" s="14"/>
      <c r="W19" s="14"/>
      <c r="X19" s="14"/>
      <c r="Y19" s="14">
        <v>10</v>
      </c>
      <c r="Z19" s="10">
        <v>10</v>
      </c>
      <c r="AA19" s="15">
        <v>4</v>
      </c>
      <c r="AB19" s="10"/>
      <c r="AC19" s="10"/>
      <c r="AD19" s="14"/>
      <c r="AE19" s="14"/>
      <c r="AF19" s="14"/>
      <c r="AG19" s="14"/>
      <c r="AH19" s="10"/>
      <c r="AI19" s="10"/>
      <c r="AJ19" s="10"/>
      <c r="AK19" s="10"/>
      <c r="AL19" s="14"/>
      <c r="AM19" s="14"/>
      <c r="AN19" s="14"/>
      <c r="AO19" s="14"/>
      <c r="AP19" s="10"/>
      <c r="AQ19" s="10"/>
      <c r="AR19" s="10"/>
      <c r="AS19" s="10"/>
      <c r="AT19" s="14"/>
      <c r="AU19" s="14"/>
      <c r="AV19" s="14"/>
      <c r="AW19" s="14"/>
      <c r="AX19" s="10"/>
      <c r="AY19" s="10"/>
      <c r="AZ19" s="10"/>
      <c r="BA19" s="10"/>
      <c r="BB19" s="14"/>
      <c r="BC19" s="14"/>
      <c r="BD19" s="14"/>
      <c r="BE19" s="14"/>
      <c r="BF19" s="10"/>
      <c r="BG19" s="10"/>
      <c r="BH19" s="22">
        <v>24</v>
      </c>
      <c r="BI19" s="189" t="s">
        <v>86</v>
      </c>
      <c r="BJ19" s="249">
        <f t="shared" si="4"/>
        <v>350</v>
      </c>
      <c r="BK19" s="74">
        <v>10</v>
      </c>
      <c r="BL19" s="194">
        <f>+U19*BK19</f>
        <v>3500</v>
      </c>
      <c r="BM19" s="74">
        <v>14</v>
      </c>
      <c r="BN19" s="209">
        <f>+U19*BM19</f>
        <v>4900</v>
      </c>
      <c r="BO19" s="229"/>
      <c r="BP19" s="230"/>
      <c r="BQ19" s="229"/>
      <c r="BR19" s="230"/>
      <c r="BS19" s="229"/>
      <c r="BT19" s="230"/>
      <c r="BU19" s="229"/>
      <c r="BV19" s="230"/>
      <c r="BW19" s="229"/>
      <c r="BX19" s="230"/>
      <c r="BY19" s="229"/>
      <c r="BZ19" s="230"/>
      <c r="CA19" s="229"/>
      <c r="CB19" s="230"/>
      <c r="CC19" s="229"/>
      <c r="CD19" s="230"/>
      <c r="CE19" s="229"/>
      <c r="CF19" s="230"/>
      <c r="CG19" s="229"/>
      <c r="CH19" s="228"/>
      <c r="CI19" s="64">
        <f>+BK19+BM19+BO19+BQ19+BS19+BU19+BW19+BY19+CA19+CC19+CE19*4+CG19</f>
        <v>24</v>
      </c>
      <c r="CJ19" s="181">
        <f t="shared" si="2"/>
        <v>8400</v>
      </c>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row>
    <row r="20" spans="1:256" s="3" customFormat="1" x14ac:dyDescent="0.25">
      <c r="B20" s="390"/>
      <c r="C20" s="388"/>
      <c r="D20" s="4"/>
      <c r="E20" s="4"/>
      <c r="F20" s="4"/>
      <c r="G20" s="4"/>
      <c r="H20" s="4"/>
      <c r="I20" s="4"/>
      <c r="J20" s="4"/>
      <c r="K20" s="4"/>
      <c r="L20" s="4"/>
      <c r="M20" s="4"/>
      <c r="N20" s="4"/>
      <c r="O20" s="4"/>
      <c r="P20" s="4"/>
      <c r="Q20" s="349">
        <f>+BJ20*$BJ$1</f>
        <v>94000</v>
      </c>
      <c r="R20" s="350"/>
      <c r="S20" s="351">
        <f t="shared" si="3"/>
        <v>94000</v>
      </c>
      <c r="T20" s="30">
        <v>2000</v>
      </c>
      <c r="U20" s="33">
        <v>2000</v>
      </c>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62"/>
      <c r="BI20" s="190" t="s">
        <v>211</v>
      </c>
      <c r="BJ20" s="194">
        <f t="shared" si="4"/>
        <v>2000</v>
      </c>
      <c r="BK20" s="125"/>
      <c r="BL20" s="227"/>
      <c r="BM20" s="125"/>
      <c r="BN20" s="210">
        <f>+BJ20*$BJ$1</f>
        <v>94000</v>
      </c>
      <c r="BO20" s="229"/>
      <c r="BP20" s="230"/>
      <c r="BQ20" s="229"/>
      <c r="BR20" s="230"/>
      <c r="BS20" s="229"/>
      <c r="BT20" s="230"/>
      <c r="BU20" s="229"/>
      <c r="BV20" s="230"/>
      <c r="BW20" s="229"/>
      <c r="BX20" s="230"/>
      <c r="BY20" s="229"/>
      <c r="BZ20" s="230"/>
      <c r="CA20" s="229"/>
      <c r="CB20" s="230"/>
      <c r="CC20" s="229"/>
      <c r="CD20" s="230"/>
      <c r="CE20" s="229"/>
      <c r="CF20" s="230"/>
      <c r="CG20" s="229"/>
      <c r="CH20" s="228"/>
      <c r="CI20" s="63"/>
      <c r="CJ20" s="181">
        <f t="shared" si="2"/>
        <v>94000</v>
      </c>
    </row>
    <row r="21" spans="1:256" s="3" customFormat="1" x14ac:dyDescent="0.25">
      <c r="A21" s="3">
        <v>10</v>
      </c>
      <c r="B21" s="391" t="s">
        <v>197</v>
      </c>
      <c r="C21" s="387" t="s">
        <v>8</v>
      </c>
      <c r="D21" s="4"/>
      <c r="E21" s="4"/>
      <c r="F21" s="4"/>
      <c r="G21" s="4"/>
      <c r="H21" s="4"/>
      <c r="I21" s="23"/>
      <c r="J21" s="23"/>
      <c r="K21" s="4"/>
      <c r="L21" s="4"/>
      <c r="M21" s="4"/>
      <c r="N21" s="4"/>
      <c r="O21" s="4"/>
      <c r="P21" s="4"/>
      <c r="Q21" s="347">
        <f>+U21*BH21</f>
        <v>20000</v>
      </c>
      <c r="R21" s="348"/>
      <c r="S21" s="346">
        <f t="shared" si="3"/>
        <v>20000</v>
      </c>
      <c r="T21" s="181">
        <v>250</v>
      </c>
      <c r="U21" s="181">
        <v>500</v>
      </c>
      <c r="V21" s="14"/>
      <c r="W21" s="14"/>
      <c r="X21" s="14"/>
      <c r="Y21" s="14"/>
      <c r="Z21" s="10"/>
      <c r="AA21" s="10"/>
      <c r="AB21" s="10"/>
      <c r="AC21" s="10"/>
      <c r="AD21" s="14">
        <v>10</v>
      </c>
      <c r="AE21" s="14">
        <v>10</v>
      </c>
      <c r="AF21" s="14">
        <v>10</v>
      </c>
      <c r="AG21" s="15">
        <v>10</v>
      </c>
      <c r="AH21" s="10"/>
      <c r="AI21" s="10"/>
      <c r="AJ21" s="10"/>
      <c r="AK21" s="10"/>
      <c r="AL21" s="14"/>
      <c r="AM21" s="14"/>
      <c r="AN21" s="14"/>
      <c r="AO21" s="14"/>
      <c r="AP21" s="10"/>
      <c r="AQ21" s="10"/>
      <c r="AR21" s="10"/>
      <c r="AS21" s="10"/>
      <c r="AT21" s="14"/>
      <c r="AU21" s="14"/>
      <c r="AV21" s="14"/>
      <c r="AW21" s="14"/>
      <c r="AX21" s="10"/>
      <c r="AY21" s="10"/>
      <c r="AZ21" s="10"/>
      <c r="BA21" s="10"/>
      <c r="BB21" s="14"/>
      <c r="BC21" s="14"/>
      <c r="BD21" s="14"/>
      <c r="BE21" s="14"/>
      <c r="BF21" s="10"/>
      <c r="BG21" s="10"/>
      <c r="BH21" s="22">
        <v>40</v>
      </c>
      <c r="BI21" s="189" t="s">
        <v>86</v>
      </c>
      <c r="BJ21" s="249">
        <f t="shared" si="4"/>
        <v>500</v>
      </c>
      <c r="BK21" s="222"/>
      <c r="BL21" s="228"/>
      <c r="BM21" s="229"/>
      <c r="BN21" s="230"/>
      <c r="BO21" s="74">
        <v>40</v>
      </c>
      <c r="BP21" s="209">
        <f>+U21*BO21</f>
        <v>20000</v>
      </c>
      <c r="BQ21" s="229"/>
      <c r="BR21" s="230"/>
      <c r="BS21" s="229"/>
      <c r="BT21" s="230"/>
      <c r="BU21" s="229"/>
      <c r="BV21" s="230"/>
      <c r="BW21" s="229"/>
      <c r="BX21" s="230"/>
      <c r="BY21" s="229"/>
      <c r="BZ21" s="230"/>
      <c r="CA21" s="229"/>
      <c r="CB21" s="230"/>
      <c r="CC21" s="229"/>
      <c r="CD21" s="230"/>
      <c r="CE21" s="229"/>
      <c r="CF21" s="230"/>
      <c r="CG21" s="229"/>
      <c r="CH21" s="228"/>
      <c r="CI21" s="64">
        <f>+BK21+BM21+BO21+BQ21+BS21+BU21+BW21+BY21+CA21+CC21+CE21*4+CG21</f>
        <v>40</v>
      </c>
      <c r="CJ21" s="181">
        <f t="shared" si="2"/>
        <v>20000</v>
      </c>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row>
    <row r="22" spans="1:256" s="3" customFormat="1" x14ac:dyDescent="0.25">
      <c r="B22" s="392"/>
      <c r="C22" s="388"/>
      <c r="D22" s="4"/>
      <c r="E22" s="4"/>
      <c r="F22" s="4"/>
      <c r="G22" s="4"/>
      <c r="H22" s="4"/>
      <c r="I22" s="4"/>
      <c r="J22" s="4"/>
      <c r="K22" s="4"/>
      <c r="L22" s="4"/>
      <c r="M22" s="4"/>
      <c r="N22" s="4"/>
      <c r="O22" s="4"/>
      <c r="P22" s="4"/>
      <c r="Q22" s="349">
        <f>+BJ22*$BJ$1</f>
        <v>235000</v>
      </c>
      <c r="R22" s="350"/>
      <c r="S22" s="351">
        <f t="shared" si="3"/>
        <v>235000</v>
      </c>
      <c r="T22" s="30">
        <v>0</v>
      </c>
      <c r="U22" s="30">
        <v>5000</v>
      </c>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62"/>
      <c r="BI22" s="190" t="s">
        <v>211</v>
      </c>
      <c r="BJ22" s="194">
        <f t="shared" si="4"/>
        <v>5000</v>
      </c>
      <c r="BK22" s="223"/>
      <c r="BL22" s="228"/>
      <c r="BM22" s="231"/>
      <c r="BN22" s="230"/>
      <c r="BO22" s="125"/>
      <c r="BP22" s="210">
        <f>+BJ22*$BJ$1</f>
        <v>235000</v>
      </c>
      <c r="BQ22" s="229"/>
      <c r="BR22" s="230"/>
      <c r="BS22" s="229"/>
      <c r="BT22" s="230"/>
      <c r="BU22" s="229"/>
      <c r="BV22" s="230"/>
      <c r="BW22" s="229"/>
      <c r="BX22" s="230"/>
      <c r="BY22" s="229"/>
      <c r="BZ22" s="230"/>
      <c r="CA22" s="229"/>
      <c r="CB22" s="230"/>
      <c r="CC22" s="229"/>
      <c r="CD22" s="230"/>
      <c r="CE22" s="229"/>
      <c r="CF22" s="230"/>
      <c r="CG22" s="229"/>
      <c r="CH22" s="228"/>
      <c r="CI22" s="63"/>
      <c r="CJ22" s="181">
        <f t="shared" si="2"/>
        <v>235000</v>
      </c>
    </row>
    <row r="23" spans="1:256" s="3" customFormat="1" x14ac:dyDescent="0.25">
      <c r="A23" s="3">
        <v>11</v>
      </c>
      <c r="B23" s="389" t="s">
        <v>198</v>
      </c>
      <c r="C23" s="387" t="s">
        <v>21</v>
      </c>
      <c r="D23" s="6"/>
      <c r="E23" s="6"/>
      <c r="F23" s="6"/>
      <c r="G23" s="6"/>
      <c r="H23" s="6"/>
      <c r="I23" s="23"/>
      <c r="J23" s="23"/>
      <c r="K23" s="23"/>
      <c r="L23" s="23"/>
      <c r="M23" s="6"/>
      <c r="N23" s="23"/>
      <c r="O23" s="23"/>
      <c r="P23" s="23"/>
      <c r="Q23" s="347">
        <f>+U23*BH23</f>
        <v>16000</v>
      </c>
      <c r="R23" s="348"/>
      <c r="S23" s="346">
        <f t="shared" si="3"/>
        <v>16000</v>
      </c>
      <c r="T23" s="181">
        <v>250</v>
      </c>
      <c r="U23" s="181">
        <v>400</v>
      </c>
      <c r="V23" s="14"/>
      <c r="W23" s="14"/>
      <c r="X23" s="14"/>
      <c r="Y23" s="14"/>
      <c r="Z23" s="10"/>
      <c r="AA23" s="10"/>
      <c r="AB23" s="10"/>
      <c r="AC23" s="10"/>
      <c r="AD23" s="14"/>
      <c r="AE23" s="14"/>
      <c r="AF23" s="14"/>
      <c r="AG23" s="14"/>
      <c r="AH23" s="10">
        <v>10</v>
      </c>
      <c r="AI23" s="10">
        <v>10</v>
      </c>
      <c r="AJ23" s="10">
        <v>10</v>
      </c>
      <c r="AK23" s="15">
        <v>10</v>
      </c>
      <c r="AL23" s="14"/>
      <c r="AM23" s="14"/>
      <c r="AN23" s="14"/>
      <c r="AO23" s="14"/>
      <c r="AP23" s="10"/>
      <c r="AQ23" s="10"/>
      <c r="AR23" s="10"/>
      <c r="AS23" s="10"/>
      <c r="AT23" s="14"/>
      <c r="AU23" s="14"/>
      <c r="AV23" s="14"/>
      <c r="AW23" s="14"/>
      <c r="AX23" s="10"/>
      <c r="AY23" s="10"/>
      <c r="AZ23" s="10"/>
      <c r="BA23" s="10"/>
      <c r="BB23" s="14"/>
      <c r="BC23" s="14"/>
      <c r="BD23" s="14"/>
      <c r="BE23" s="14"/>
      <c r="BF23" s="10"/>
      <c r="BG23" s="10"/>
      <c r="BH23" s="22">
        <v>40</v>
      </c>
      <c r="BI23" s="189" t="s">
        <v>86</v>
      </c>
      <c r="BJ23" s="249">
        <f t="shared" si="4"/>
        <v>400</v>
      </c>
      <c r="BK23" s="222"/>
      <c r="BL23" s="228"/>
      <c r="BM23" s="229"/>
      <c r="BN23" s="230"/>
      <c r="BO23" s="229"/>
      <c r="BP23" s="230"/>
      <c r="BQ23" s="74">
        <v>40</v>
      </c>
      <c r="BR23" s="209">
        <f>+U23*BQ23</f>
        <v>16000</v>
      </c>
      <c r="BS23" s="229"/>
      <c r="BT23" s="230"/>
      <c r="BU23" s="229"/>
      <c r="BV23" s="230"/>
      <c r="BW23" s="229"/>
      <c r="BX23" s="230"/>
      <c r="BY23" s="229"/>
      <c r="BZ23" s="230"/>
      <c r="CA23" s="229"/>
      <c r="CB23" s="230"/>
      <c r="CC23" s="229"/>
      <c r="CD23" s="230"/>
      <c r="CE23" s="229"/>
      <c r="CF23" s="230"/>
      <c r="CG23" s="229"/>
      <c r="CH23" s="228"/>
      <c r="CI23" s="64">
        <f>+BK23+BM23+BO23+BQ23+BS23+BU23+BW23+BY23+CA23+CC23+CE23*4+CG23</f>
        <v>40</v>
      </c>
      <c r="CJ23" s="181">
        <f t="shared" si="2"/>
        <v>16000</v>
      </c>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9"/>
      <c r="GB23" s="9"/>
      <c r="GC23" s="9"/>
      <c r="GD23" s="9"/>
      <c r="GE23" s="9"/>
      <c r="GF23" s="9"/>
      <c r="GG23" s="9"/>
      <c r="GH23" s="9"/>
      <c r="GI23" s="9"/>
      <c r="GJ23" s="9"/>
      <c r="GK23" s="9"/>
      <c r="GL23" s="9"/>
      <c r="GM23" s="9"/>
      <c r="GN23" s="9"/>
      <c r="GO23" s="9"/>
      <c r="GP23" s="9"/>
      <c r="GQ23" s="9"/>
      <c r="GR23" s="9"/>
      <c r="GS23" s="9"/>
      <c r="GT23" s="9"/>
      <c r="GU23" s="9"/>
      <c r="GV23" s="9"/>
      <c r="GW23" s="9"/>
      <c r="GX23" s="9"/>
      <c r="GY23" s="9"/>
      <c r="GZ23" s="9"/>
      <c r="HA23" s="9"/>
      <c r="HB23" s="9"/>
      <c r="HC23" s="9"/>
      <c r="HD23" s="9"/>
      <c r="HE23" s="9"/>
      <c r="HF23" s="9"/>
      <c r="HG23" s="9"/>
      <c r="HH23" s="9"/>
      <c r="HI23" s="9"/>
      <c r="HJ23" s="9"/>
      <c r="HK23" s="9"/>
      <c r="HL23" s="9"/>
      <c r="HM23" s="9"/>
      <c r="HN23" s="9"/>
      <c r="HO23" s="9"/>
      <c r="HP23" s="9"/>
      <c r="HQ23" s="9"/>
      <c r="HR23" s="9"/>
      <c r="HS23" s="9"/>
      <c r="HT23" s="9"/>
      <c r="HU23" s="9"/>
      <c r="HV23" s="9"/>
      <c r="HW23" s="9"/>
      <c r="HX23" s="9"/>
      <c r="HY23" s="9"/>
      <c r="HZ23" s="9"/>
      <c r="IA23" s="9"/>
      <c r="IB23" s="9"/>
      <c r="IC23" s="9"/>
      <c r="ID23" s="9"/>
      <c r="IE23" s="9"/>
      <c r="IF23" s="9"/>
      <c r="IG23" s="9"/>
      <c r="IH23" s="9"/>
      <c r="II23" s="9"/>
      <c r="IJ23" s="9"/>
      <c r="IK23" s="9"/>
      <c r="IL23" s="9"/>
      <c r="IM23" s="9"/>
      <c r="IN23" s="9"/>
      <c r="IO23" s="9"/>
      <c r="IP23" s="9"/>
      <c r="IQ23" s="9"/>
      <c r="IR23" s="9"/>
      <c r="IS23" s="9"/>
      <c r="IT23" s="9"/>
      <c r="IU23" s="9"/>
      <c r="IV23" s="9"/>
    </row>
    <row r="24" spans="1:256" s="3" customFormat="1" x14ac:dyDescent="0.25">
      <c r="B24" s="390"/>
      <c r="C24" s="388"/>
      <c r="D24" s="4"/>
      <c r="E24" s="4"/>
      <c r="F24" s="4"/>
      <c r="G24" s="4"/>
      <c r="H24" s="4"/>
      <c r="I24" s="4"/>
      <c r="J24" s="4"/>
      <c r="K24" s="4"/>
      <c r="L24" s="4"/>
      <c r="M24" s="4"/>
      <c r="N24" s="4"/>
      <c r="O24" s="4"/>
      <c r="P24" s="4"/>
      <c r="Q24" s="349">
        <f>+BJ24*$BJ$1</f>
        <v>206800</v>
      </c>
      <c r="R24" s="350"/>
      <c r="S24" s="351">
        <f t="shared" si="3"/>
        <v>206800</v>
      </c>
      <c r="T24" s="30">
        <v>0</v>
      </c>
      <c r="U24" s="30">
        <v>4400</v>
      </c>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62"/>
      <c r="BI24" s="190" t="s">
        <v>211</v>
      </c>
      <c r="BJ24" s="194">
        <f t="shared" si="4"/>
        <v>4400</v>
      </c>
      <c r="BK24" s="223"/>
      <c r="BL24" s="228"/>
      <c r="BM24" s="231"/>
      <c r="BN24" s="230"/>
      <c r="BO24" s="231"/>
      <c r="BP24" s="230"/>
      <c r="BQ24" s="125"/>
      <c r="BR24" s="210">
        <f>+BJ24*$BJ$1</f>
        <v>206800</v>
      </c>
      <c r="BS24" s="229"/>
      <c r="BT24" s="230"/>
      <c r="BU24" s="229"/>
      <c r="BV24" s="230"/>
      <c r="BW24" s="229"/>
      <c r="BX24" s="230"/>
      <c r="BY24" s="229"/>
      <c r="BZ24" s="230"/>
      <c r="CA24" s="229"/>
      <c r="CB24" s="230"/>
      <c r="CC24" s="229"/>
      <c r="CD24" s="230"/>
      <c r="CE24" s="229"/>
      <c r="CF24" s="230"/>
      <c r="CG24" s="229"/>
      <c r="CH24" s="228"/>
      <c r="CI24" s="63"/>
      <c r="CJ24" s="181">
        <f t="shared" si="2"/>
        <v>206800</v>
      </c>
    </row>
    <row r="25" spans="1:256" s="3" customFormat="1" x14ac:dyDescent="0.25">
      <c r="A25" s="3">
        <v>12</v>
      </c>
      <c r="B25" s="382" t="s">
        <v>199</v>
      </c>
      <c r="C25" s="387" t="s">
        <v>2</v>
      </c>
      <c r="D25" s="6"/>
      <c r="E25" s="6"/>
      <c r="F25" s="6"/>
      <c r="G25" s="6"/>
      <c r="H25" s="6"/>
      <c r="I25" s="23"/>
      <c r="J25" s="23"/>
      <c r="K25" s="23"/>
      <c r="L25" s="6"/>
      <c r="M25" s="23"/>
      <c r="N25" s="6"/>
      <c r="O25" s="6"/>
      <c r="P25" s="6"/>
      <c r="Q25" s="347">
        <f>+U25*BH25</f>
        <v>36400</v>
      </c>
      <c r="R25" s="348"/>
      <c r="S25" s="346">
        <f t="shared" si="3"/>
        <v>36400</v>
      </c>
      <c r="T25" s="181">
        <v>250</v>
      </c>
      <c r="U25" s="181">
        <v>350</v>
      </c>
      <c r="V25" s="14"/>
      <c r="W25" s="14"/>
      <c r="X25" s="14"/>
      <c r="Y25" s="14"/>
      <c r="Z25" s="10"/>
      <c r="AA25" s="10"/>
      <c r="AB25" s="10"/>
      <c r="AC25" s="10"/>
      <c r="AD25" s="14"/>
      <c r="AE25" s="14"/>
      <c r="AF25" s="14"/>
      <c r="AG25" s="14"/>
      <c r="AH25" s="10"/>
      <c r="AI25" s="10"/>
      <c r="AJ25" s="10"/>
      <c r="AK25" s="10"/>
      <c r="AL25" s="14"/>
      <c r="AM25" s="14"/>
      <c r="AN25" s="14"/>
      <c r="AO25" s="14"/>
      <c r="AP25" s="10"/>
      <c r="AQ25" s="10"/>
      <c r="AR25" s="10"/>
      <c r="AS25" s="10"/>
      <c r="AT25" s="14"/>
      <c r="AU25" s="14"/>
      <c r="AV25" s="14"/>
      <c r="AW25" s="14"/>
      <c r="AX25" s="10">
        <v>8</v>
      </c>
      <c r="AY25" s="10">
        <v>10</v>
      </c>
      <c r="AZ25" s="10">
        <v>10</v>
      </c>
      <c r="BA25" s="10">
        <v>10</v>
      </c>
      <c r="BB25" s="14">
        <v>10</v>
      </c>
      <c r="BC25" s="14">
        <v>10</v>
      </c>
      <c r="BD25" s="14">
        <v>10</v>
      </c>
      <c r="BE25" s="14">
        <v>12</v>
      </c>
      <c r="BF25" s="10">
        <v>12</v>
      </c>
      <c r="BG25" s="15">
        <v>12</v>
      </c>
      <c r="BH25" s="22">
        <v>104</v>
      </c>
      <c r="BI25" s="189" t="s">
        <v>86</v>
      </c>
      <c r="BJ25" s="249">
        <f t="shared" si="4"/>
        <v>350</v>
      </c>
      <c r="BK25" s="222"/>
      <c r="BL25" s="228"/>
      <c r="BM25" s="229"/>
      <c r="BN25" s="230"/>
      <c r="BO25" s="229"/>
      <c r="BP25" s="230"/>
      <c r="BQ25" s="229"/>
      <c r="BR25" s="230"/>
      <c r="BS25" s="229"/>
      <c r="BT25" s="230"/>
      <c r="BU25" s="229"/>
      <c r="BV25" s="230"/>
      <c r="BW25" s="229"/>
      <c r="BX25" s="230"/>
      <c r="BY25" s="74">
        <v>38</v>
      </c>
      <c r="BZ25" s="209">
        <f>+U25*BY25</f>
        <v>13300</v>
      </c>
      <c r="CA25" s="74">
        <v>42</v>
      </c>
      <c r="CB25" s="209">
        <f>+U25*CA25</f>
        <v>14700</v>
      </c>
      <c r="CC25" s="74">
        <v>24</v>
      </c>
      <c r="CD25" s="209">
        <f>+U25*CC25</f>
        <v>8400</v>
      </c>
      <c r="CE25" s="229"/>
      <c r="CF25" s="230"/>
      <c r="CG25" s="229"/>
      <c r="CH25" s="228"/>
      <c r="CI25" s="64">
        <f>+BK25+BM25+BO25+BQ25+BS25+BU25+BW25+BY25+CA25+CC25+CE25*4+CG25</f>
        <v>104</v>
      </c>
      <c r="CJ25" s="181">
        <f t="shared" si="2"/>
        <v>36400</v>
      </c>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row>
    <row r="26" spans="1:256" s="3" customFormat="1" x14ac:dyDescent="0.25">
      <c r="B26" s="382"/>
      <c r="C26" s="388"/>
      <c r="D26" s="4"/>
      <c r="E26" s="4"/>
      <c r="F26" s="4"/>
      <c r="G26" s="4"/>
      <c r="H26" s="4"/>
      <c r="I26" s="4"/>
      <c r="J26" s="4"/>
      <c r="K26" s="4"/>
      <c r="L26" s="4"/>
      <c r="M26" s="4"/>
      <c r="N26" s="4"/>
      <c r="O26" s="4"/>
      <c r="P26" s="4"/>
      <c r="Q26" s="349">
        <f>+BJ26*$BJ$1</f>
        <v>27260</v>
      </c>
      <c r="R26" s="350"/>
      <c r="S26" s="351">
        <f t="shared" si="3"/>
        <v>27260</v>
      </c>
      <c r="T26" s="30">
        <v>580</v>
      </c>
      <c r="U26" s="33">
        <v>580</v>
      </c>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62"/>
      <c r="BI26" s="190" t="s">
        <v>218</v>
      </c>
      <c r="BJ26" s="194">
        <f>+T26</f>
        <v>580</v>
      </c>
      <c r="BK26" s="223"/>
      <c r="BL26" s="228"/>
      <c r="BM26" s="231"/>
      <c r="BN26" s="230"/>
      <c r="BO26" s="231"/>
      <c r="BP26" s="230"/>
      <c r="BQ26" s="231"/>
      <c r="BR26" s="230"/>
      <c r="BS26" s="231"/>
      <c r="BT26" s="230"/>
      <c r="BU26" s="231"/>
      <c r="BV26" s="230"/>
      <c r="BW26" s="231"/>
      <c r="BX26" s="230"/>
      <c r="BY26" s="125"/>
      <c r="BZ26" s="227"/>
      <c r="CA26" s="125"/>
      <c r="CB26" s="227"/>
      <c r="CC26" s="125"/>
      <c r="CD26" s="210">
        <f>+BJ26*$BJ$1</f>
        <v>27260</v>
      </c>
      <c r="CE26" s="229"/>
      <c r="CF26" s="230"/>
      <c r="CG26" s="229"/>
      <c r="CH26" s="228"/>
      <c r="CI26" s="63"/>
      <c r="CJ26" s="181">
        <f t="shared" si="2"/>
        <v>27260</v>
      </c>
    </row>
    <row r="27" spans="1:256" s="3" customFormat="1" ht="15" customHeight="1" x14ac:dyDescent="0.25">
      <c r="A27" s="3">
        <v>13</v>
      </c>
      <c r="B27" s="382"/>
      <c r="C27" s="383" t="s">
        <v>96</v>
      </c>
      <c r="D27" s="6"/>
      <c r="E27" s="6"/>
      <c r="F27" s="6"/>
      <c r="G27" s="6"/>
      <c r="H27" s="6"/>
      <c r="I27" s="23"/>
      <c r="J27" s="23"/>
      <c r="K27" s="23"/>
      <c r="L27" s="6"/>
      <c r="M27" s="23"/>
      <c r="N27" s="6"/>
      <c r="O27" s="6"/>
      <c r="P27" s="6"/>
      <c r="Q27" s="347">
        <f>+U27*BH27</f>
        <v>7000</v>
      </c>
      <c r="R27" s="348"/>
      <c r="S27" s="346">
        <f t="shared" si="3"/>
        <v>7000</v>
      </c>
      <c r="T27" s="181">
        <v>250</v>
      </c>
      <c r="U27" s="181">
        <v>350</v>
      </c>
      <c r="V27" s="14"/>
      <c r="W27" s="14"/>
      <c r="X27" s="14"/>
      <c r="Y27" s="14"/>
      <c r="Z27" s="10"/>
      <c r="AA27" s="10"/>
      <c r="AB27" s="10"/>
      <c r="AC27" s="10"/>
      <c r="AD27" s="14"/>
      <c r="AE27" s="14"/>
      <c r="AF27" s="14"/>
      <c r="AG27" s="14"/>
      <c r="AH27" s="10"/>
      <c r="AI27" s="10"/>
      <c r="AJ27" s="10"/>
      <c r="AK27" s="10"/>
      <c r="AL27" s="14"/>
      <c r="AM27" s="14"/>
      <c r="AN27" s="14"/>
      <c r="AO27" s="14"/>
      <c r="AP27" s="10"/>
      <c r="AQ27" s="10"/>
      <c r="AR27" s="10"/>
      <c r="AS27" s="10"/>
      <c r="AT27" s="14"/>
      <c r="AU27" s="14">
        <v>6</v>
      </c>
      <c r="AV27" s="14">
        <v>6</v>
      </c>
      <c r="AW27" s="14">
        <v>6</v>
      </c>
      <c r="AX27" s="15">
        <v>2</v>
      </c>
      <c r="AY27" s="10"/>
      <c r="AZ27" s="10"/>
      <c r="BA27" s="10"/>
      <c r="BB27" s="14"/>
      <c r="BC27" s="14"/>
      <c r="BD27" s="14"/>
      <c r="BE27" s="14"/>
      <c r="BF27" s="10"/>
      <c r="BG27" s="10"/>
      <c r="BH27" s="22">
        <v>20</v>
      </c>
      <c r="BI27" s="189" t="s">
        <v>86</v>
      </c>
      <c r="BJ27" s="249">
        <f>+U27</f>
        <v>350</v>
      </c>
      <c r="BK27" s="222"/>
      <c r="BL27" s="228"/>
      <c r="BM27" s="229"/>
      <c r="BN27" s="230"/>
      <c r="BO27" s="229"/>
      <c r="BP27" s="230"/>
      <c r="BQ27" s="229"/>
      <c r="BR27" s="230"/>
      <c r="BS27" s="229"/>
      <c r="BT27" s="230"/>
      <c r="BU27" s="229"/>
      <c r="BV27" s="230"/>
      <c r="BW27" s="74">
        <v>18</v>
      </c>
      <c r="BX27" s="209">
        <f>+U27*BW27</f>
        <v>6300</v>
      </c>
      <c r="BY27" s="74">
        <v>2</v>
      </c>
      <c r="BZ27" s="209">
        <f>+U27*BY27</f>
        <v>700</v>
      </c>
      <c r="CA27" s="229"/>
      <c r="CB27" s="230"/>
      <c r="CC27" s="229"/>
      <c r="CD27" s="230"/>
      <c r="CE27" s="229"/>
      <c r="CF27" s="230"/>
      <c r="CG27" s="229"/>
      <c r="CH27" s="228"/>
      <c r="CI27" s="64">
        <f>+BK27+BM27+BO27+BQ27+BS27+BU27+BW27+BY27+CA27+CC27+CE27*4+CG27</f>
        <v>20</v>
      </c>
      <c r="CJ27" s="181">
        <f t="shared" si="2"/>
        <v>7000</v>
      </c>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c r="IT27" s="9"/>
      <c r="IU27" s="9"/>
      <c r="IV27" s="9"/>
    </row>
    <row r="28" spans="1:256" s="3" customFormat="1" x14ac:dyDescent="0.25">
      <c r="B28" s="382"/>
      <c r="C28" s="384"/>
      <c r="D28" s="4"/>
      <c r="E28" s="4"/>
      <c r="F28" s="4"/>
      <c r="G28" s="4"/>
      <c r="H28" s="4"/>
      <c r="I28" s="4"/>
      <c r="J28" s="4"/>
      <c r="K28" s="4"/>
      <c r="L28" s="4"/>
      <c r="M28" s="4"/>
      <c r="N28" s="4"/>
      <c r="O28" s="4"/>
      <c r="P28" s="4"/>
      <c r="Q28" s="349">
        <f>+BJ28*$BJ$1</f>
        <v>44650</v>
      </c>
      <c r="R28" s="350"/>
      <c r="S28" s="351">
        <f t="shared" si="3"/>
        <v>44650</v>
      </c>
      <c r="T28" s="30">
        <v>950</v>
      </c>
      <c r="U28" s="33">
        <v>950</v>
      </c>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62"/>
      <c r="BI28" s="190" t="s">
        <v>217</v>
      </c>
      <c r="BJ28" s="194">
        <f>+T28</f>
        <v>950</v>
      </c>
      <c r="BK28" s="223"/>
      <c r="BL28" s="228"/>
      <c r="BM28" s="231"/>
      <c r="BN28" s="230"/>
      <c r="BO28" s="231"/>
      <c r="BP28" s="230"/>
      <c r="BQ28" s="231"/>
      <c r="BR28" s="230"/>
      <c r="BS28" s="231"/>
      <c r="BT28" s="230"/>
      <c r="BU28" s="231"/>
      <c r="BV28" s="230"/>
      <c r="BW28" s="125"/>
      <c r="BX28" s="227"/>
      <c r="BY28" s="125"/>
      <c r="BZ28" s="227"/>
      <c r="CA28" s="125"/>
      <c r="CB28" s="227"/>
      <c r="CC28" s="125"/>
      <c r="CD28" s="210">
        <f>+BJ28*$BJ$1</f>
        <v>44650</v>
      </c>
      <c r="CE28" s="229"/>
      <c r="CF28" s="230"/>
      <c r="CG28" s="229"/>
      <c r="CH28" s="228"/>
      <c r="CI28" s="63"/>
      <c r="CJ28" s="181">
        <f t="shared" si="2"/>
        <v>44650</v>
      </c>
    </row>
    <row r="29" spans="1:256" s="3" customFormat="1" x14ac:dyDescent="0.25">
      <c r="A29" s="3">
        <v>14</v>
      </c>
      <c r="B29" s="391" t="s">
        <v>200</v>
      </c>
      <c r="C29" s="387" t="s">
        <v>219</v>
      </c>
      <c r="D29" s="4"/>
      <c r="E29" s="4"/>
      <c r="F29" s="4"/>
      <c r="G29" s="4"/>
      <c r="H29" s="4"/>
      <c r="I29" s="23"/>
      <c r="J29" s="23"/>
      <c r="K29" s="23"/>
      <c r="L29" s="4"/>
      <c r="M29" s="4"/>
      <c r="N29" s="4"/>
      <c r="O29" s="4"/>
      <c r="P29" s="4"/>
      <c r="Q29" s="347">
        <f>+U29*BH29</f>
        <v>14000</v>
      </c>
      <c r="R29" s="348"/>
      <c r="S29" s="346">
        <f t="shared" si="3"/>
        <v>14000</v>
      </c>
      <c r="T29" s="181">
        <v>250</v>
      </c>
      <c r="U29" s="181">
        <v>350</v>
      </c>
      <c r="V29" s="14"/>
      <c r="W29" s="14"/>
      <c r="X29" s="14"/>
      <c r="Y29" s="14"/>
      <c r="Z29" s="10"/>
      <c r="AA29" s="10"/>
      <c r="AB29" s="10"/>
      <c r="AC29" s="10"/>
      <c r="AD29" s="14"/>
      <c r="AE29" s="14"/>
      <c r="AF29" s="14"/>
      <c r="AG29" s="14"/>
      <c r="AH29" s="10"/>
      <c r="AI29" s="10"/>
      <c r="AJ29" s="10"/>
      <c r="AK29" s="10"/>
      <c r="AL29" s="14"/>
      <c r="AM29" s="14"/>
      <c r="AN29" s="14"/>
      <c r="AO29" s="14"/>
      <c r="AP29" s="10"/>
      <c r="AQ29" s="10"/>
      <c r="AR29" s="10">
        <v>6</v>
      </c>
      <c r="AS29" s="10">
        <v>6</v>
      </c>
      <c r="AT29" s="14">
        <v>6</v>
      </c>
      <c r="AU29" s="14">
        <v>6</v>
      </c>
      <c r="AV29" s="14">
        <v>6</v>
      </c>
      <c r="AW29" s="14">
        <v>6</v>
      </c>
      <c r="AX29" s="15">
        <v>4</v>
      </c>
      <c r="AY29" s="10"/>
      <c r="AZ29" s="10"/>
      <c r="BA29" s="10"/>
      <c r="BB29" s="14"/>
      <c r="BC29" s="14"/>
      <c r="BD29" s="14"/>
      <c r="BE29" s="14"/>
      <c r="BF29" s="10"/>
      <c r="BG29" s="10"/>
      <c r="BH29" s="22">
        <v>40</v>
      </c>
      <c r="BI29" s="189" t="s">
        <v>86</v>
      </c>
      <c r="BJ29" s="249">
        <f>+U29</f>
        <v>350</v>
      </c>
      <c r="BK29" s="222"/>
      <c r="BL29" s="228"/>
      <c r="BM29" s="229"/>
      <c r="BN29" s="230"/>
      <c r="BO29" s="229"/>
      <c r="BP29" s="230"/>
      <c r="BQ29" s="229"/>
      <c r="BR29" s="230"/>
      <c r="BS29" s="229"/>
      <c r="BT29" s="230"/>
      <c r="BU29" s="74">
        <v>12</v>
      </c>
      <c r="BV29" s="233">
        <f>+U29*BU29</f>
        <v>4200</v>
      </c>
      <c r="BW29" s="74">
        <v>24</v>
      </c>
      <c r="BX29" s="233">
        <f>+U29*BW29</f>
        <v>8400</v>
      </c>
      <c r="BY29" s="74">
        <v>4</v>
      </c>
      <c r="BZ29" s="209">
        <f>+U29*BY29</f>
        <v>1400</v>
      </c>
      <c r="CA29" s="229"/>
      <c r="CB29" s="230"/>
      <c r="CC29" s="229"/>
      <c r="CD29" s="230"/>
      <c r="CE29" s="229"/>
      <c r="CF29" s="230"/>
      <c r="CG29" s="229"/>
      <c r="CH29" s="228"/>
      <c r="CI29" s="64">
        <f>+BK29+BM29+BO29+BQ29+BS29+BU29+BW29+BY29+CA29+CC29+CE29*4+CG29</f>
        <v>40</v>
      </c>
      <c r="CJ29" s="181">
        <f t="shared" si="2"/>
        <v>14000</v>
      </c>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c r="HE29" s="9"/>
      <c r="HF29" s="9"/>
      <c r="HG29" s="9"/>
      <c r="HH29" s="9"/>
      <c r="HI29" s="9"/>
      <c r="HJ29" s="9"/>
      <c r="HK29" s="9"/>
      <c r="HL29" s="9"/>
      <c r="HM29" s="9"/>
      <c r="HN29" s="9"/>
      <c r="HO29" s="9"/>
      <c r="HP29" s="9"/>
      <c r="HQ29" s="9"/>
      <c r="HR29" s="9"/>
      <c r="HS29" s="9"/>
      <c r="HT29" s="9"/>
      <c r="HU29" s="9"/>
      <c r="HV29" s="9"/>
      <c r="HW29" s="9"/>
      <c r="HX29" s="9"/>
      <c r="HY29" s="9"/>
      <c r="HZ29" s="9"/>
      <c r="IA29" s="9"/>
      <c r="IB29" s="9"/>
      <c r="IC29" s="9"/>
      <c r="ID29" s="9"/>
      <c r="IE29" s="9"/>
      <c r="IF29" s="9"/>
      <c r="IG29" s="9"/>
      <c r="IH29" s="9"/>
      <c r="II29" s="9"/>
      <c r="IJ29" s="9"/>
      <c r="IK29" s="9"/>
      <c r="IL29" s="9"/>
      <c r="IM29" s="9"/>
      <c r="IN29" s="9"/>
      <c r="IO29" s="9"/>
      <c r="IP29" s="9"/>
      <c r="IQ29" s="9"/>
      <c r="IR29" s="9"/>
      <c r="IS29" s="9"/>
      <c r="IT29" s="9"/>
      <c r="IU29" s="9"/>
      <c r="IV29" s="9"/>
    </row>
    <row r="30" spans="1:256" s="3" customFormat="1" x14ac:dyDescent="0.25">
      <c r="B30" s="392"/>
      <c r="C30" s="388"/>
      <c r="D30" s="4"/>
      <c r="E30" s="4"/>
      <c r="F30" s="4"/>
      <c r="G30" s="4"/>
      <c r="H30" s="4"/>
      <c r="I30" s="4"/>
      <c r="J30" s="4"/>
      <c r="K30" s="4"/>
      <c r="L30" s="4"/>
      <c r="M30" s="4"/>
      <c r="N30" s="4"/>
      <c r="O30" s="4"/>
      <c r="P30" s="4"/>
      <c r="Q30" s="349">
        <f>+BJ30*$BJ$1</f>
        <v>75200</v>
      </c>
      <c r="R30" s="350"/>
      <c r="S30" s="351">
        <f t="shared" si="3"/>
        <v>75200</v>
      </c>
      <c r="T30" s="30">
        <v>1600</v>
      </c>
      <c r="U30" s="33">
        <v>1600</v>
      </c>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62"/>
      <c r="BI30" s="190" t="s">
        <v>211</v>
      </c>
      <c r="BJ30" s="194">
        <f>+T30</f>
        <v>1600</v>
      </c>
      <c r="BK30" s="223"/>
      <c r="BL30" s="228"/>
      <c r="BM30" s="231"/>
      <c r="BN30" s="230"/>
      <c r="BO30" s="231"/>
      <c r="BP30" s="230"/>
      <c r="BQ30" s="231"/>
      <c r="BR30" s="230"/>
      <c r="BS30" s="231"/>
      <c r="BT30" s="230"/>
      <c r="BU30" s="125"/>
      <c r="BV30" s="227"/>
      <c r="BW30" s="125"/>
      <c r="BX30" s="227"/>
      <c r="BY30" s="125"/>
      <c r="BZ30" s="210">
        <f>+BJ30*$BJ$1</f>
        <v>75200</v>
      </c>
      <c r="CA30" s="229"/>
      <c r="CB30" s="230"/>
      <c r="CC30" s="229"/>
      <c r="CD30" s="230"/>
      <c r="CE30" s="229"/>
      <c r="CF30" s="230"/>
      <c r="CG30" s="229"/>
      <c r="CH30" s="228"/>
      <c r="CI30" s="63"/>
      <c r="CJ30" s="181">
        <f t="shared" si="2"/>
        <v>75200</v>
      </c>
    </row>
    <row r="31" spans="1:256" s="3" customFormat="1" ht="22.5" customHeight="1" x14ac:dyDescent="0.25">
      <c r="A31" s="3">
        <v>15</v>
      </c>
      <c r="B31" s="393" t="s">
        <v>201</v>
      </c>
      <c r="C31" s="387" t="s">
        <v>29</v>
      </c>
      <c r="D31" s="4"/>
      <c r="E31" s="4"/>
      <c r="F31" s="4"/>
      <c r="G31" s="4"/>
      <c r="H31" s="4"/>
      <c r="I31" s="23"/>
      <c r="J31" s="23"/>
      <c r="K31" s="23"/>
      <c r="L31" s="23"/>
      <c r="M31" s="4"/>
      <c r="N31" s="4"/>
      <c r="O31" s="23"/>
      <c r="P31" s="4"/>
      <c r="Q31" s="347">
        <f>+U31*BH31</f>
        <v>33000</v>
      </c>
      <c r="R31" s="348"/>
      <c r="S31" s="346">
        <f t="shared" si="3"/>
        <v>33000</v>
      </c>
      <c r="T31" s="181">
        <v>250</v>
      </c>
      <c r="U31" s="181">
        <v>500</v>
      </c>
      <c r="V31" s="14"/>
      <c r="W31" s="14"/>
      <c r="X31" s="14"/>
      <c r="Y31" s="14"/>
      <c r="Z31" s="10"/>
      <c r="AA31" s="10"/>
      <c r="AB31" s="10"/>
      <c r="AC31" s="10"/>
      <c r="AD31" s="14"/>
      <c r="AE31" s="14"/>
      <c r="AF31" s="14"/>
      <c r="AG31" s="14"/>
      <c r="AH31" s="10"/>
      <c r="AI31" s="10"/>
      <c r="AJ31" s="10"/>
      <c r="AK31" s="10"/>
      <c r="AL31" s="14">
        <v>10</v>
      </c>
      <c r="AM31" s="14">
        <v>10</v>
      </c>
      <c r="AN31" s="14">
        <v>10</v>
      </c>
      <c r="AO31" s="14">
        <v>10</v>
      </c>
      <c r="AP31" s="10">
        <v>10</v>
      </c>
      <c r="AQ31" s="10">
        <v>10</v>
      </c>
      <c r="AR31" s="15">
        <v>6</v>
      </c>
      <c r="AS31" s="10"/>
      <c r="AT31" s="14"/>
      <c r="AU31" s="14"/>
      <c r="AV31" s="14"/>
      <c r="AW31" s="14"/>
      <c r="AX31" s="10"/>
      <c r="AY31" s="10"/>
      <c r="AZ31" s="10"/>
      <c r="BA31" s="10"/>
      <c r="BB31" s="14"/>
      <c r="BC31" s="14"/>
      <c r="BD31" s="14"/>
      <c r="BE31" s="14"/>
      <c r="BF31" s="10"/>
      <c r="BG31" s="10"/>
      <c r="BH31" s="22">
        <v>66</v>
      </c>
      <c r="BI31" s="189" t="s">
        <v>86</v>
      </c>
      <c r="BJ31" s="249">
        <f>+U31</f>
        <v>500</v>
      </c>
      <c r="BK31" s="222"/>
      <c r="BL31" s="228"/>
      <c r="BM31" s="229"/>
      <c r="BN31" s="230"/>
      <c r="BO31" s="229"/>
      <c r="BP31" s="230"/>
      <c r="BQ31" s="229"/>
      <c r="BR31" s="230"/>
      <c r="BS31" s="74">
        <v>40</v>
      </c>
      <c r="BT31" s="233">
        <f>+U31*BS31</f>
        <v>20000</v>
      </c>
      <c r="BU31" s="74">
        <v>26</v>
      </c>
      <c r="BV31" s="209">
        <f>+U31*BU31</f>
        <v>13000</v>
      </c>
      <c r="BW31" s="229"/>
      <c r="BX31" s="230"/>
      <c r="BY31" s="229"/>
      <c r="BZ31" s="230"/>
      <c r="CA31" s="229"/>
      <c r="CB31" s="230"/>
      <c r="CC31" s="229"/>
      <c r="CD31" s="230"/>
      <c r="CE31" s="229"/>
      <c r="CF31" s="230"/>
      <c r="CG31" s="229"/>
      <c r="CH31" s="228"/>
      <c r="CI31" s="64">
        <f>+BK31+BM31+BO31+BQ31+BS31+BU31+BW31+BY31+CA31+CC31+CE31*4+CG31</f>
        <v>66</v>
      </c>
      <c r="CJ31" s="181">
        <f t="shared" si="2"/>
        <v>33000</v>
      </c>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c r="IR31" s="9"/>
      <c r="IS31" s="9"/>
      <c r="IT31" s="9"/>
      <c r="IU31" s="9"/>
      <c r="IV31" s="9"/>
    </row>
    <row r="32" spans="1:256" s="3" customFormat="1" ht="22.5" customHeight="1" x14ac:dyDescent="0.25">
      <c r="B32" s="394"/>
      <c r="C32" s="388"/>
      <c r="D32" s="4"/>
      <c r="E32" s="4"/>
      <c r="F32" s="4"/>
      <c r="G32" s="4"/>
      <c r="H32" s="4"/>
      <c r="I32" s="4"/>
      <c r="J32" s="4"/>
      <c r="K32" s="4"/>
      <c r="L32" s="4"/>
      <c r="M32" s="4"/>
      <c r="N32" s="4"/>
      <c r="O32" s="4"/>
      <c r="P32" s="4"/>
      <c r="Q32" s="349">
        <f>+BJ32*$BJ$1</f>
        <v>70500</v>
      </c>
      <c r="R32" s="350"/>
      <c r="S32" s="351">
        <f t="shared" si="3"/>
        <v>70500</v>
      </c>
      <c r="T32" s="30">
        <v>1500</v>
      </c>
      <c r="U32" s="33">
        <v>1500</v>
      </c>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62"/>
      <c r="BI32" s="190" t="s">
        <v>211</v>
      </c>
      <c r="BJ32" s="194">
        <f>+T32</f>
        <v>1500</v>
      </c>
      <c r="BK32" s="223"/>
      <c r="BL32" s="228"/>
      <c r="BM32" s="231"/>
      <c r="BN32" s="230"/>
      <c r="BO32" s="231"/>
      <c r="BP32" s="230"/>
      <c r="BQ32" s="231"/>
      <c r="BR32" s="230"/>
      <c r="BS32" s="125"/>
      <c r="BT32" s="227"/>
      <c r="BU32" s="125"/>
      <c r="BV32" s="210">
        <f>+BJ32*$BJ$1</f>
        <v>70500</v>
      </c>
      <c r="BW32" s="229"/>
      <c r="BX32" s="230"/>
      <c r="BY32" s="229"/>
      <c r="BZ32" s="230"/>
      <c r="CA32" s="229"/>
      <c r="CB32" s="230"/>
      <c r="CC32" s="229"/>
      <c r="CD32" s="230"/>
      <c r="CE32" s="229"/>
      <c r="CF32" s="230"/>
      <c r="CG32" s="229"/>
      <c r="CH32" s="228"/>
      <c r="CI32" s="63"/>
      <c r="CJ32" s="181">
        <f t="shared" si="2"/>
        <v>70500</v>
      </c>
    </row>
    <row r="33" spans="1:256" s="3" customFormat="1" ht="23.25" customHeight="1" x14ac:dyDescent="0.25">
      <c r="A33" s="3">
        <v>16</v>
      </c>
      <c r="B33" s="385" t="s">
        <v>202</v>
      </c>
      <c r="C33" s="387" t="s">
        <v>26</v>
      </c>
      <c r="D33" s="4"/>
      <c r="E33" s="4"/>
      <c r="F33" s="4"/>
      <c r="G33" s="4"/>
      <c r="H33" s="4"/>
      <c r="I33" s="4"/>
      <c r="J33" s="4"/>
      <c r="K33" s="23"/>
      <c r="L33" s="4"/>
      <c r="M33" s="4"/>
      <c r="N33" s="4"/>
      <c r="O33" s="23"/>
      <c r="P33" s="4"/>
      <c r="Q33" s="347">
        <f>+U33*BH33</f>
        <v>20000</v>
      </c>
      <c r="R33" s="348"/>
      <c r="S33" s="346">
        <f t="shared" si="3"/>
        <v>20000</v>
      </c>
      <c r="T33" s="181">
        <v>250</v>
      </c>
      <c r="U33" s="181">
        <v>500</v>
      </c>
      <c r="V33" s="14"/>
      <c r="W33" s="14"/>
      <c r="X33" s="14"/>
      <c r="Y33" s="14"/>
      <c r="Z33" s="10"/>
      <c r="AA33" s="10">
        <v>6</v>
      </c>
      <c r="AB33" s="10">
        <v>6</v>
      </c>
      <c r="AC33" s="10">
        <v>6</v>
      </c>
      <c r="AD33" s="14">
        <v>6</v>
      </c>
      <c r="AE33" s="14">
        <v>6</v>
      </c>
      <c r="AF33" s="14">
        <v>6</v>
      </c>
      <c r="AG33" s="15">
        <v>4</v>
      </c>
      <c r="AH33" s="10"/>
      <c r="AI33" s="10"/>
      <c r="AJ33" s="10"/>
      <c r="AK33" s="10"/>
      <c r="AL33" s="14"/>
      <c r="AM33" s="14"/>
      <c r="AN33" s="14"/>
      <c r="AO33" s="14"/>
      <c r="AP33" s="10"/>
      <c r="AQ33" s="10"/>
      <c r="AR33" s="10"/>
      <c r="AS33" s="10"/>
      <c r="AT33" s="14"/>
      <c r="AU33" s="14"/>
      <c r="AV33" s="14"/>
      <c r="AW33" s="14"/>
      <c r="AX33" s="10"/>
      <c r="AY33" s="10"/>
      <c r="AZ33" s="10"/>
      <c r="BA33" s="10"/>
      <c r="BB33" s="14"/>
      <c r="BC33" s="14"/>
      <c r="BD33" s="14"/>
      <c r="BE33" s="14"/>
      <c r="BF33" s="10"/>
      <c r="BG33" s="10"/>
      <c r="BH33" s="22">
        <v>40</v>
      </c>
      <c r="BI33" s="189" t="s">
        <v>86</v>
      </c>
      <c r="BJ33" s="249">
        <f>+U33</f>
        <v>500</v>
      </c>
      <c r="BK33" s="222"/>
      <c r="BL33" s="228"/>
      <c r="BM33" s="74">
        <v>18</v>
      </c>
      <c r="BN33" s="233">
        <f>+U33*BM33</f>
        <v>9000</v>
      </c>
      <c r="BO33" s="74">
        <v>22</v>
      </c>
      <c r="BP33" s="209">
        <f>+U33*BO33</f>
        <v>11000</v>
      </c>
      <c r="BQ33" s="229"/>
      <c r="BR33" s="230"/>
      <c r="BS33" s="229"/>
      <c r="BT33" s="230"/>
      <c r="BU33" s="229"/>
      <c r="BV33" s="230"/>
      <c r="BW33" s="229"/>
      <c r="BX33" s="230"/>
      <c r="BY33" s="229"/>
      <c r="BZ33" s="230"/>
      <c r="CA33" s="229"/>
      <c r="CB33" s="230"/>
      <c r="CC33" s="229"/>
      <c r="CD33" s="230"/>
      <c r="CE33" s="229"/>
      <c r="CF33" s="230"/>
      <c r="CG33" s="229"/>
      <c r="CH33" s="228"/>
      <c r="CI33" s="64">
        <f>+BK33+BM33+BO33+BQ33+BS33+BU33+BW33+BY33+CA33+CC33+CE33*4+CG33</f>
        <v>40</v>
      </c>
      <c r="CJ33" s="181">
        <f t="shared" si="2"/>
        <v>20000</v>
      </c>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9"/>
    </row>
    <row r="34" spans="1:256" s="3" customFormat="1" ht="23.25" customHeight="1" x14ac:dyDescent="0.25">
      <c r="B34" s="386"/>
      <c r="C34" s="388"/>
      <c r="D34" s="4"/>
      <c r="E34" s="4"/>
      <c r="F34" s="4"/>
      <c r="G34" s="4"/>
      <c r="H34" s="4"/>
      <c r="I34" s="4"/>
      <c r="J34" s="4"/>
      <c r="K34" s="4"/>
      <c r="L34" s="4"/>
      <c r="M34" s="4"/>
      <c r="N34" s="4"/>
      <c r="O34" s="4"/>
      <c r="P34" s="4"/>
      <c r="Q34" s="349">
        <f>+BJ34*$BJ$1</f>
        <v>206800</v>
      </c>
      <c r="R34" s="350"/>
      <c r="S34" s="351">
        <f t="shared" si="3"/>
        <v>206800</v>
      </c>
      <c r="T34" s="30">
        <v>0</v>
      </c>
      <c r="U34" s="30">
        <v>4400</v>
      </c>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62"/>
      <c r="BI34" s="190" t="s">
        <v>211</v>
      </c>
      <c r="BJ34" s="194">
        <f>+U34</f>
        <v>4400</v>
      </c>
      <c r="BK34" s="223"/>
      <c r="BL34" s="228"/>
      <c r="BM34" s="125"/>
      <c r="BN34" s="211"/>
      <c r="BO34" s="125"/>
      <c r="BP34" s="210">
        <f>+BJ34*$BJ$1</f>
        <v>206800</v>
      </c>
      <c r="BQ34" s="229"/>
      <c r="BR34" s="230"/>
      <c r="BS34" s="229"/>
      <c r="BT34" s="230"/>
      <c r="BU34" s="229"/>
      <c r="BV34" s="230"/>
      <c r="BW34" s="229"/>
      <c r="BX34" s="230"/>
      <c r="BY34" s="229"/>
      <c r="BZ34" s="230"/>
      <c r="CA34" s="229"/>
      <c r="CB34" s="230"/>
      <c r="CC34" s="229"/>
      <c r="CD34" s="230"/>
      <c r="CE34" s="229"/>
      <c r="CF34" s="230"/>
      <c r="CG34" s="229"/>
      <c r="CH34" s="228"/>
      <c r="CI34" s="63"/>
      <c r="CJ34" s="181">
        <f t="shared" si="2"/>
        <v>206800</v>
      </c>
    </row>
    <row r="35" spans="1:256" s="3" customFormat="1" x14ac:dyDescent="0.25">
      <c r="A35" s="3">
        <v>17</v>
      </c>
      <c r="B35" s="385" t="s">
        <v>203</v>
      </c>
      <c r="C35" s="383" t="s">
        <v>28</v>
      </c>
      <c r="D35" s="4"/>
      <c r="E35" s="4"/>
      <c r="F35" s="4"/>
      <c r="G35" s="4"/>
      <c r="H35" s="4"/>
      <c r="I35" s="4"/>
      <c r="J35" s="4"/>
      <c r="K35" s="4"/>
      <c r="L35" s="4"/>
      <c r="M35" s="4"/>
      <c r="N35" s="4"/>
      <c r="O35" s="23"/>
      <c r="P35" s="4"/>
      <c r="Q35" s="347">
        <f>+U35*BH35</f>
        <v>10500</v>
      </c>
      <c r="R35" s="348"/>
      <c r="S35" s="346">
        <f t="shared" si="3"/>
        <v>10500</v>
      </c>
      <c r="T35" s="181">
        <v>250</v>
      </c>
      <c r="U35" s="181">
        <v>350</v>
      </c>
      <c r="V35" s="14"/>
      <c r="W35" s="14"/>
      <c r="X35" s="14"/>
      <c r="Y35" s="14"/>
      <c r="Z35" s="10"/>
      <c r="AA35" s="10"/>
      <c r="AB35" s="10"/>
      <c r="AC35" s="10"/>
      <c r="AD35" s="14"/>
      <c r="AE35" s="14"/>
      <c r="AF35" s="14"/>
      <c r="AG35" s="14"/>
      <c r="AH35" s="10"/>
      <c r="AI35" s="10"/>
      <c r="AJ35" s="10"/>
      <c r="AK35" s="10"/>
      <c r="AL35" s="14"/>
      <c r="AM35" s="14"/>
      <c r="AN35" s="14"/>
      <c r="AO35" s="14">
        <v>4</v>
      </c>
      <c r="AP35" s="10">
        <v>4</v>
      </c>
      <c r="AQ35" s="10">
        <v>4</v>
      </c>
      <c r="AR35" s="10">
        <v>4</v>
      </c>
      <c r="AS35" s="10">
        <v>4</v>
      </c>
      <c r="AT35" s="14">
        <v>4</v>
      </c>
      <c r="AU35" s="14">
        <v>4</v>
      </c>
      <c r="AV35" s="15">
        <v>2</v>
      </c>
      <c r="AW35" s="14"/>
      <c r="AX35" s="10"/>
      <c r="AY35" s="10"/>
      <c r="AZ35" s="10"/>
      <c r="BA35" s="10"/>
      <c r="BB35" s="14"/>
      <c r="BC35" s="14"/>
      <c r="BD35" s="14"/>
      <c r="BE35" s="14"/>
      <c r="BF35" s="10"/>
      <c r="BG35" s="10"/>
      <c r="BH35" s="22">
        <v>30</v>
      </c>
      <c r="BI35" s="189" t="s">
        <v>86</v>
      </c>
      <c r="BJ35" s="249">
        <f>+U35</f>
        <v>350</v>
      </c>
      <c r="BK35" s="222"/>
      <c r="BL35" s="228"/>
      <c r="BM35" s="229"/>
      <c r="BN35" s="230"/>
      <c r="BO35" s="229"/>
      <c r="BP35" s="230"/>
      <c r="BQ35" s="229"/>
      <c r="BR35" s="230"/>
      <c r="BS35" s="74">
        <v>4</v>
      </c>
      <c r="BT35" s="233">
        <f>+U35*BS35</f>
        <v>1400</v>
      </c>
      <c r="BU35" s="74">
        <v>16</v>
      </c>
      <c r="BV35" s="233">
        <f>+U35*BU35</f>
        <v>5600</v>
      </c>
      <c r="BW35" s="74">
        <v>10</v>
      </c>
      <c r="BX35" s="209">
        <f>+U35*BW35</f>
        <v>3500</v>
      </c>
      <c r="BY35" s="229"/>
      <c r="BZ35" s="230"/>
      <c r="CA35" s="229"/>
      <c r="CB35" s="230"/>
      <c r="CC35" s="229"/>
      <c r="CD35" s="230"/>
      <c r="CE35" s="229"/>
      <c r="CF35" s="230"/>
      <c r="CG35" s="229"/>
      <c r="CH35" s="228"/>
      <c r="CI35" s="64">
        <f>+BK35+BM35+BO35+BQ35+BS35+BU35+BW35+BY35+CA35+CC35+CE35*4+CG35</f>
        <v>30</v>
      </c>
      <c r="CJ35" s="181">
        <f t="shared" si="2"/>
        <v>10500</v>
      </c>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c r="HE35" s="9"/>
      <c r="HF35" s="9"/>
      <c r="HG35" s="9"/>
      <c r="HH35" s="9"/>
      <c r="HI35" s="9"/>
      <c r="HJ35" s="9"/>
      <c r="HK35" s="9"/>
      <c r="HL35" s="9"/>
      <c r="HM35" s="9"/>
      <c r="HN35" s="9"/>
      <c r="HO35" s="9"/>
      <c r="HP35" s="9"/>
      <c r="HQ35" s="9"/>
      <c r="HR35" s="9"/>
      <c r="HS35" s="9"/>
      <c r="HT35" s="9"/>
      <c r="HU35" s="9"/>
      <c r="HV35" s="9"/>
      <c r="HW35" s="9"/>
      <c r="HX35" s="9"/>
      <c r="HY35" s="9"/>
      <c r="HZ35" s="9"/>
      <c r="IA35" s="9"/>
      <c r="IB35" s="9"/>
      <c r="IC35" s="9"/>
      <c r="ID35" s="9"/>
      <c r="IE35" s="9"/>
      <c r="IF35" s="9"/>
      <c r="IG35" s="9"/>
      <c r="IH35" s="9"/>
      <c r="II35" s="9"/>
      <c r="IJ35" s="9"/>
      <c r="IK35" s="9"/>
      <c r="IL35" s="9"/>
      <c r="IM35" s="9"/>
      <c r="IN35" s="9"/>
      <c r="IO35" s="9"/>
      <c r="IP35" s="9"/>
      <c r="IQ35" s="9"/>
      <c r="IR35" s="9"/>
      <c r="IS35" s="9"/>
      <c r="IT35" s="9"/>
      <c r="IU35" s="9"/>
      <c r="IV35" s="9"/>
    </row>
    <row r="36" spans="1:256" s="3" customFormat="1" x14ac:dyDescent="0.25">
      <c r="B36" s="386"/>
      <c r="C36" s="384"/>
      <c r="D36" s="4"/>
      <c r="E36" s="4"/>
      <c r="F36" s="4"/>
      <c r="G36" s="4"/>
      <c r="H36" s="4"/>
      <c r="I36" s="4"/>
      <c r="J36" s="4"/>
      <c r="K36" s="4"/>
      <c r="L36" s="4"/>
      <c r="M36" s="4"/>
      <c r="N36" s="4"/>
      <c r="O36" s="4"/>
      <c r="P36" s="4"/>
      <c r="Q36" s="349">
        <f>+BJ36*$BJ$1</f>
        <v>94000</v>
      </c>
      <c r="R36" s="350"/>
      <c r="S36" s="351">
        <f t="shared" si="3"/>
        <v>94000</v>
      </c>
      <c r="T36" s="30">
        <v>2000</v>
      </c>
      <c r="U36" s="33">
        <v>2000</v>
      </c>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62"/>
      <c r="BI36" s="190" t="s">
        <v>211</v>
      </c>
      <c r="BJ36" s="194">
        <f>+T36</f>
        <v>2000</v>
      </c>
      <c r="BK36" s="223"/>
      <c r="BL36" s="228"/>
      <c r="BM36" s="231"/>
      <c r="BN36" s="230"/>
      <c r="BO36" s="231"/>
      <c r="BP36" s="230"/>
      <c r="BQ36" s="231"/>
      <c r="BR36" s="230"/>
      <c r="BS36" s="125"/>
      <c r="BT36" s="67"/>
      <c r="BU36" s="125"/>
      <c r="BV36" s="67"/>
      <c r="BW36" s="125"/>
      <c r="BX36" s="210">
        <f>+BJ36*$BJ$1</f>
        <v>94000</v>
      </c>
      <c r="BY36" s="229"/>
      <c r="BZ36" s="230"/>
      <c r="CA36" s="229"/>
      <c r="CB36" s="230"/>
      <c r="CC36" s="229"/>
      <c r="CD36" s="230"/>
      <c r="CE36" s="229"/>
      <c r="CF36" s="230"/>
      <c r="CG36" s="229"/>
      <c r="CH36" s="228"/>
      <c r="CI36" s="63"/>
      <c r="CJ36" s="181">
        <f t="shared" si="2"/>
        <v>94000</v>
      </c>
    </row>
    <row r="37" spans="1:256" s="3" customFormat="1" ht="35.25" customHeight="1" x14ac:dyDescent="0.25">
      <c r="A37" s="3">
        <v>18</v>
      </c>
      <c r="B37" s="385" t="s">
        <v>204</v>
      </c>
      <c r="C37" s="383" t="s">
        <v>97</v>
      </c>
      <c r="D37" s="4"/>
      <c r="E37" s="4"/>
      <c r="F37" s="4"/>
      <c r="G37" s="4"/>
      <c r="H37" s="4"/>
      <c r="I37" s="4"/>
      <c r="J37" s="4"/>
      <c r="K37" s="4"/>
      <c r="L37" s="4"/>
      <c r="M37" s="4"/>
      <c r="N37" s="23"/>
      <c r="O37" s="4"/>
      <c r="P37" s="4"/>
      <c r="Q37" s="347">
        <f>+U37*BH37</f>
        <v>10500</v>
      </c>
      <c r="R37" s="348"/>
      <c r="S37" s="346">
        <f t="shared" si="3"/>
        <v>10500</v>
      </c>
      <c r="T37" s="181">
        <v>250</v>
      </c>
      <c r="U37" s="181">
        <v>350</v>
      </c>
      <c r="V37" s="14" t="s">
        <v>99</v>
      </c>
      <c r="W37" s="14"/>
      <c r="X37" s="14"/>
      <c r="Y37" s="14"/>
      <c r="Z37" s="10"/>
      <c r="AA37" s="10"/>
      <c r="AB37" s="10"/>
      <c r="AC37" s="10"/>
      <c r="AD37" s="14"/>
      <c r="AE37" s="14"/>
      <c r="AF37" s="14"/>
      <c r="AG37" s="14"/>
      <c r="AH37" s="10">
        <v>4</v>
      </c>
      <c r="AI37" s="10">
        <v>4</v>
      </c>
      <c r="AJ37" s="10">
        <v>4</v>
      </c>
      <c r="AK37" s="10">
        <v>4</v>
      </c>
      <c r="AL37" s="14">
        <v>4</v>
      </c>
      <c r="AM37" s="14">
        <v>4</v>
      </c>
      <c r="AN37" s="14">
        <v>4</v>
      </c>
      <c r="AO37" s="15">
        <v>2</v>
      </c>
      <c r="AP37" s="10"/>
      <c r="AQ37" s="10"/>
      <c r="AR37" s="10"/>
      <c r="AS37" s="10"/>
      <c r="AT37" s="14"/>
      <c r="AU37" s="14"/>
      <c r="AV37" s="14"/>
      <c r="AW37" s="14"/>
      <c r="AX37" s="10"/>
      <c r="AY37" s="10"/>
      <c r="AZ37" s="10"/>
      <c r="BA37" s="10"/>
      <c r="BB37" s="14"/>
      <c r="BC37" s="14"/>
      <c r="BD37" s="14"/>
      <c r="BE37" s="14"/>
      <c r="BF37" s="10"/>
      <c r="BG37" s="10"/>
      <c r="BH37" s="22">
        <v>30</v>
      </c>
      <c r="BI37" s="189" t="s">
        <v>86</v>
      </c>
      <c r="BJ37" s="249">
        <f>+U37</f>
        <v>350</v>
      </c>
      <c r="BK37" s="222"/>
      <c r="BL37" s="228"/>
      <c r="BM37" s="229"/>
      <c r="BN37" s="230"/>
      <c r="BO37" s="229"/>
      <c r="BP37" s="230"/>
      <c r="BQ37" s="74">
        <v>16</v>
      </c>
      <c r="BR37" s="233">
        <f>+U37*BQ37</f>
        <v>5600</v>
      </c>
      <c r="BS37" s="74">
        <v>14</v>
      </c>
      <c r="BT37" s="209">
        <f>+U37*BS37</f>
        <v>4900</v>
      </c>
      <c r="BU37" s="229"/>
      <c r="BV37" s="230"/>
      <c r="BW37" s="229"/>
      <c r="BX37" s="230"/>
      <c r="BY37" s="229"/>
      <c r="BZ37" s="230"/>
      <c r="CA37" s="229"/>
      <c r="CB37" s="230"/>
      <c r="CC37" s="229"/>
      <c r="CD37" s="230"/>
      <c r="CE37" s="229"/>
      <c r="CF37" s="230"/>
      <c r="CG37" s="229"/>
      <c r="CH37" s="228"/>
      <c r="CI37" s="64">
        <f>+BK37+BM37+BO37+BQ37+BS37+BU37+BW37+BY37+CA37+CC37+CE37*4+CG37</f>
        <v>30</v>
      </c>
      <c r="CJ37" s="181">
        <f t="shared" si="2"/>
        <v>10500</v>
      </c>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9"/>
      <c r="IK37" s="9"/>
      <c r="IL37" s="9"/>
      <c r="IM37" s="9"/>
      <c r="IN37" s="9"/>
      <c r="IO37" s="9"/>
      <c r="IP37" s="9"/>
      <c r="IQ37" s="9"/>
      <c r="IR37" s="9"/>
      <c r="IS37" s="9"/>
      <c r="IT37" s="9"/>
      <c r="IU37" s="9"/>
      <c r="IV37" s="9"/>
    </row>
    <row r="38" spans="1:256" s="3" customFormat="1" x14ac:dyDescent="0.25">
      <c r="B38" s="386"/>
      <c r="C38" s="384"/>
      <c r="D38" s="4"/>
      <c r="E38" s="4"/>
      <c r="F38" s="4"/>
      <c r="G38" s="4"/>
      <c r="H38" s="4"/>
      <c r="I38" s="4"/>
      <c r="J38" s="4"/>
      <c r="K38" s="4"/>
      <c r="L38" s="4"/>
      <c r="M38" s="4"/>
      <c r="N38" s="4"/>
      <c r="O38" s="4"/>
      <c r="P38" s="4"/>
      <c r="Q38" s="349">
        <f>+BJ38*$BJ$1</f>
        <v>27260</v>
      </c>
      <c r="R38" s="350"/>
      <c r="S38" s="351">
        <f t="shared" si="3"/>
        <v>27260</v>
      </c>
      <c r="T38" s="30">
        <v>580</v>
      </c>
      <c r="U38" s="33">
        <v>580</v>
      </c>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62"/>
      <c r="BI38" s="190" t="s">
        <v>211</v>
      </c>
      <c r="BJ38" s="194">
        <f>+T38</f>
        <v>580</v>
      </c>
      <c r="BK38" s="223"/>
      <c r="BL38" s="228"/>
      <c r="BM38" s="231"/>
      <c r="BN38" s="230"/>
      <c r="BO38" s="231"/>
      <c r="BP38" s="230"/>
      <c r="BQ38" s="125"/>
      <c r="BR38" s="67"/>
      <c r="BS38" s="125"/>
      <c r="BT38" s="210">
        <f>+BJ38*$BJ$1</f>
        <v>27260</v>
      </c>
      <c r="BU38" s="229"/>
      <c r="BV38" s="230"/>
      <c r="BW38" s="229"/>
      <c r="BX38" s="230"/>
      <c r="BY38" s="229"/>
      <c r="BZ38" s="230"/>
      <c r="CA38" s="229"/>
      <c r="CB38" s="230"/>
      <c r="CC38" s="229"/>
      <c r="CD38" s="230"/>
      <c r="CE38" s="229"/>
      <c r="CF38" s="230"/>
      <c r="CG38" s="229"/>
      <c r="CH38" s="228"/>
      <c r="CI38" s="63"/>
      <c r="CJ38" s="181">
        <f t="shared" si="2"/>
        <v>27260</v>
      </c>
      <c r="CK38" s="354">
        <f>SUM(CJ6:CJ38)</f>
        <v>1566140</v>
      </c>
      <c r="CL38" s="3" t="s">
        <v>256</v>
      </c>
    </row>
    <row r="39" spans="1:256" s="9" customFormat="1" ht="45.75" thickBot="1" x14ac:dyDescent="0.3">
      <c r="A39" s="3">
        <v>19</v>
      </c>
      <c r="B39" s="42" t="s">
        <v>101</v>
      </c>
      <c r="C39" s="10" t="s">
        <v>27</v>
      </c>
      <c r="D39" s="11"/>
      <c r="E39" s="11"/>
      <c r="F39" s="11"/>
      <c r="G39" s="7"/>
      <c r="H39" s="7"/>
      <c r="I39" s="7"/>
      <c r="J39" s="7"/>
      <c r="K39" s="7"/>
      <c r="L39" s="7"/>
      <c r="M39" s="7"/>
      <c r="N39" s="7"/>
      <c r="O39" s="7"/>
      <c r="P39" s="7"/>
      <c r="Q39" s="355">
        <v>25000</v>
      </c>
      <c r="R39" s="350"/>
      <c r="S39" s="355">
        <f>+Q39*15</f>
        <v>375000</v>
      </c>
      <c r="T39" s="30">
        <v>25000</v>
      </c>
      <c r="U39" s="30">
        <v>25000</v>
      </c>
      <c r="V39" s="14"/>
      <c r="W39" s="14"/>
      <c r="X39" s="14"/>
      <c r="Y39" s="14"/>
      <c r="Z39" s="10"/>
      <c r="AA39" s="10">
        <v>1</v>
      </c>
      <c r="AB39" s="10">
        <v>1</v>
      </c>
      <c r="AC39" s="10">
        <v>1</v>
      </c>
      <c r="AD39" s="14">
        <v>1</v>
      </c>
      <c r="AE39" s="14">
        <v>1</v>
      </c>
      <c r="AF39" s="14">
        <v>1</v>
      </c>
      <c r="AG39" s="14">
        <v>1</v>
      </c>
      <c r="AH39" s="10">
        <v>1</v>
      </c>
      <c r="AI39" s="10">
        <v>1</v>
      </c>
      <c r="AJ39" s="10">
        <v>1</v>
      </c>
      <c r="AK39" s="10">
        <v>1</v>
      </c>
      <c r="AL39" s="14">
        <v>1</v>
      </c>
      <c r="AM39" s="14">
        <v>1</v>
      </c>
      <c r="AN39" s="14">
        <v>1</v>
      </c>
      <c r="AO39" s="14">
        <v>1</v>
      </c>
      <c r="AP39" s="10">
        <v>1</v>
      </c>
      <c r="AQ39" s="10">
        <v>1</v>
      </c>
      <c r="AR39" s="10">
        <v>1</v>
      </c>
      <c r="AS39" s="10">
        <v>1</v>
      </c>
      <c r="AT39" s="14">
        <v>1</v>
      </c>
      <c r="AU39" s="14">
        <v>1</v>
      </c>
      <c r="AV39" s="14">
        <v>1</v>
      </c>
      <c r="AW39" s="14">
        <v>1</v>
      </c>
      <c r="AX39" s="10">
        <v>1</v>
      </c>
      <c r="AY39" s="10">
        <v>1</v>
      </c>
      <c r="AZ39" s="10">
        <v>1</v>
      </c>
      <c r="BA39" s="10">
        <v>1</v>
      </c>
      <c r="BB39" s="14">
        <v>1</v>
      </c>
      <c r="BC39" s="14">
        <v>1</v>
      </c>
      <c r="BD39" s="14">
        <v>1</v>
      </c>
      <c r="BE39" s="14">
        <v>1</v>
      </c>
      <c r="BF39" s="10">
        <v>1</v>
      </c>
      <c r="BG39" s="10">
        <v>1</v>
      </c>
      <c r="BH39" s="22">
        <v>33</v>
      </c>
      <c r="BI39" s="250" t="s">
        <v>221</v>
      </c>
      <c r="BJ39" s="249">
        <f>+U39</f>
        <v>25000</v>
      </c>
      <c r="BK39" s="222"/>
      <c r="BL39" s="228"/>
      <c r="BM39" s="76">
        <v>3</v>
      </c>
      <c r="BN39" s="216">
        <f>+BL39*$BJ$1</f>
        <v>0</v>
      </c>
      <c r="BO39" s="76">
        <v>4</v>
      </c>
      <c r="BP39" s="216">
        <f>+BN39*$BJ$1</f>
        <v>0</v>
      </c>
      <c r="BQ39" s="76">
        <v>4</v>
      </c>
      <c r="BR39" s="216">
        <f>+BP39*$BJ$1</f>
        <v>0</v>
      </c>
      <c r="BS39" s="76">
        <v>4</v>
      </c>
      <c r="BT39" s="216">
        <f>+BR39*$BJ$1</f>
        <v>0</v>
      </c>
      <c r="BU39" s="76">
        <v>4</v>
      </c>
      <c r="BV39" s="216">
        <f>+BT39*$BJ$1</f>
        <v>0</v>
      </c>
      <c r="BW39" s="76">
        <v>4</v>
      </c>
      <c r="BX39" s="216">
        <f>+BV39*$BJ$1</f>
        <v>0</v>
      </c>
      <c r="BY39" s="76">
        <v>4</v>
      </c>
      <c r="BZ39" s="216">
        <f>+BX39*$BJ$1</f>
        <v>0</v>
      </c>
      <c r="CA39" s="76">
        <v>4</v>
      </c>
      <c r="CB39" s="216">
        <f>+BZ39*$BJ$1</f>
        <v>0</v>
      </c>
      <c r="CC39" s="76">
        <v>2</v>
      </c>
      <c r="CD39" s="216">
        <v>0</v>
      </c>
      <c r="CE39" s="76">
        <v>16</v>
      </c>
      <c r="CF39" s="216">
        <v>0</v>
      </c>
      <c r="CG39" s="76">
        <v>10</v>
      </c>
      <c r="CH39" s="256">
        <v>0</v>
      </c>
      <c r="CI39" s="64">
        <f>+BK39+BM39+BO39+BQ39+BS39+BU39+BW39+BY39+CA39+CC39+CE39*4+CG39</f>
        <v>107</v>
      </c>
      <c r="CJ39" s="181">
        <f t="shared" si="2"/>
        <v>0</v>
      </c>
    </row>
    <row r="40" spans="1:256" s="9" customFormat="1" ht="6" customHeight="1" thickBot="1" x14ac:dyDescent="0.3">
      <c r="B40" s="199"/>
      <c r="T40" s="31"/>
      <c r="U40" s="31"/>
      <c r="BH40" s="16"/>
      <c r="BI40" s="39"/>
      <c r="BK40" s="204"/>
      <c r="BL40" s="212"/>
      <c r="BM40" s="204"/>
      <c r="BN40" s="212"/>
      <c r="BO40" s="204"/>
      <c r="BP40" s="212"/>
      <c r="BQ40" s="204"/>
      <c r="BR40" s="204"/>
      <c r="BS40" s="193"/>
      <c r="BT40" s="193"/>
      <c r="BU40" s="204"/>
      <c r="BV40" s="204"/>
      <c r="BW40" s="204"/>
      <c r="BX40" s="204"/>
      <c r="BY40" s="204"/>
      <c r="BZ40" s="204"/>
      <c r="CA40" s="204"/>
      <c r="CB40" s="204"/>
      <c r="CC40" s="204"/>
      <c r="CD40" s="204"/>
      <c r="CE40" s="204"/>
      <c r="CF40" s="204"/>
      <c r="CG40" s="204"/>
      <c r="CH40" s="246"/>
      <c r="CI40" s="64"/>
      <c r="CJ40" s="181"/>
    </row>
    <row r="41" spans="1:256" s="9" customFormat="1" x14ac:dyDescent="0.25">
      <c r="A41" s="9">
        <v>20</v>
      </c>
      <c r="B41" s="200" t="s">
        <v>100</v>
      </c>
      <c r="C41" s="10" t="s">
        <v>27</v>
      </c>
      <c r="D41" s="10"/>
      <c r="E41" s="7"/>
      <c r="F41" s="7"/>
      <c r="G41" s="7"/>
      <c r="H41" s="7"/>
      <c r="I41" s="7"/>
      <c r="J41" s="7"/>
      <c r="K41" s="7"/>
      <c r="L41" s="7"/>
      <c r="M41" s="7"/>
      <c r="N41" s="7"/>
      <c r="O41" s="7"/>
      <c r="P41" s="7"/>
      <c r="Q41" s="356" t="s">
        <v>261</v>
      </c>
      <c r="R41" s="350"/>
      <c r="S41" s="356" t="s">
        <v>261</v>
      </c>
      <c r="T41" s="30">
        <v>0</v>
      </c>
      <c r="U41" s="30">
        <v>0</v>
      </c>
      <c r="V41" s="12"/>
      <c r="W41" s="12"/>
      <c r="X41" s="12">
        <v>1</v>
      </c>
      <c r="Y41" s="12">
        <v>1</v>
      </c>
      <c r="Z41" s="12">
        <v>1</v>
      </c>
      <c r="AA41" s="12">
        <v>1</v>
      </c>
      <c r="AB41" s="12">
        <v>1</v>
      </c>
      <c r="AC41" s="12">
        <v>1</v>
      </c>
      <c r="AD41" s="12">
        <v>1</v>
      </c>
      <c r="AE41" s="12">
        <v>1</v>
      </c>
      <c r="AF41" s="12">
        <v>1</v>
      </c>
      <c r="AG41" s="12">
        <v>1</v>
      </c>
      <c r="AH41" s="12">
        <v>1</v>
      </c>
      <c r="AI41" s="12">
        <v>1</v>
      </c>
      <c r="AJ41" s="12">
        <v>1</v>
      </c>
      <c r="AK41" s="12">
        <v>1</v>
      </c>
      <c r="AL41" s="12">
        <v>1</v>
      </c>
      <c r="AM41" s="12">
        <v>1</v>
      </c>
      <c r="AN41" s="12">
        <v>1</v>
      </c>
      <c r="AO41" s="12">
        <v>1</v>
      </c>
      <c r="AP41" s="12">
        <v>1</v>
      </c>
      <c r="AQ41" s="12">
        <v>1</v>
      </c>
      <c r="AR41" s="12">
        <v>1</v>
      </c>
      <c r="AS41" s="12">
        <v>1</v>
      </c>
      <c r="AT41" s="12">
        <v>1</v>
      </c>
      <c r="AU41" s="12">
        <v>1</v>
      </c>
      <c r="AV41" s="12">
        <v>1</v>
      </c>
      <c r="AW41" s="12">
        <v>1</v>
      </c>
      <c r="AX41" s="12">
        <v>1</v>
      </c>
      <c r="AY41" s="12">
        <v>1</v>
      </c>
      <c r="AZ41" s="12">
        <v>1</v>
      </c>
      <c r="BA41" s="12">
        <v>1</v>
      </c>
      <c r="BB41" s="12">
        <v>1</v>
      </c>
      <c r="BC41" s="12">
        <v>1</v>
      </c>
      <c r="BD41" s="12">
        <v>1</v>
      </c>
      <c r="BE41" s="12">
        <v>1</v>
      </c>
      <c r="BF41" s="12">
        <v>1</v>
      </c>
      <c r="BG41" s="12">
        <v>1</v>
      </c>
      <c r="BH41" s="22">
        <v>36</v>
      </c>
      <c r="BI41" s="250" t="s">
        <v>221</v>
      </c>
      <c r="BJ41" s="249">
        <f>+U41</f>
        <v>0</v>
      </c>
      <c r="BK41" s="213">
        <v>2</v>
      </c>
      <c r="BL41" s="214">
        <f>+BJ41*$BJ$1</f>
        <v>0</v>
      </c>
      <c r="BM41" s="213">
        <v>4</v>
      </c>
      <c r="BN41" s="214">
        <f>+BL41*$BJ$1</f>
        <v>0</v>
      </c>
      <c r="BO41" s="213">
        <v>4</v>
      </c>
      <c r="BP41" s="214">
        <f>+BN41*$BJ$1</f>
        <v>0</v>
      </c>
      <c r="BQ41" s="213">
        <v>4</v>
      </c>
      <c r="BR41" s="214">
        <f>+BP41*$BJ$1</f>
        <v>0</v>
      </c>
      <c r="BS41" s="100">
        <v>4</v>
      </c>
      <c r="BT41" s="244">
        <f>+BR41*$BJ$1</f>
        <v>0</v>
      </c>
      <c r="BU41" s="213">
        <v>4</v>
      </c>
      <c r="BV41" s="214">
        <f>+BT41*$BJ$1</f>
        <v>0</v>
      </c>
      <c r="BW41" s="213">
        <v>4</v>
      </c>
      <c r="BX41" s="214">
        <f>+BV41*$BJ$1</f>
        <v>0</v>
      </c>
      <c r="BY41" s="213">
        <v>4</v>
      </c>
      <c r="BZ41" s="214">
        <f>+BX41*$BJ$1</f>
        <v>0</v>
      </c>
      <c r="CA41" s="213">
        <v>4</v>
      </c>
      <c r="CB41" s="214">
        <f>+BZ41*$BJ$1</f>
        <v>0</v>
      </c>
      <c r="CC41" s="213">
        <v>2</v>
      </c>
      <c r="CD41" s="214">
        <v>0</v>
      </c>
      <c r="CE41" s="213">
        <v>4</v>
      </c>
      <c r="CF41" s="214">
        <v>0</v>
      </c>
      <c r="CG41" s="213">
        <v>3</v>
      </c>
      <c r="CH41" s="257">
        <v>0</v>
      </c>
      <c r="CI41" s="64">
        <f>+BK41+BM41+BO41+BQ41+BS41+BU41+BW41+BY41+CA41+CC41+CE41*4+CG41</f>
        <v>55</v>
      </c>
      <c r="CJ41" s="181">
        <f t="shared" si="2"/>
        <v>0</v>
      </c>
    </row>
    <row r="42" spans="1:256" s="9" customFormat="1" x14ac:dyDescent="0.25">
      <c r="A42" s="9">
        <v>21</v>
      </c>
      <c r="B42" s="201" t="s">
        <v>102</v>
      </c>
      <c r="C42" s="10" t="s">
        <v>27</v>
      </c>
      <c r="D42" s="10"/>
      <c r="E42" s="7"/>
      <c r="F42" s="7"/>
      <c r="G42" s="7"/>
      <c r="H42" s="7"/>
      <c r="I42" s="7"/>
      <c r="J42" s="7"/>
      <c r="K42" s="7"/>
      <c r="L42" s="7"/>
      <c r="M42" s="7"/>
      <c r="N42" s="7"/>
      <c r="O42" s="7"/>
      <c r="P42" s="7"/>
      <c r="Q42" s="356" t="s">
        <v>261</v>
      </c>
      <c r="R42" s="350"/>
      <c r="S42" s="356" t="s">
        <v>261</v>
      </c>
      <c r="T42" s="30">
        <v>0</v>
      </c>
      <c r="U42" s="30">
        <v>0</v>
      </c>
      <c r="V42" s="12"/>
      <c r="W42" s="12"/>
      <c r="X42" s="12">
        <v>1</v>
      </c>
      <c r="Y42" s="12">
        <v>1</v>
      </c>
      <c r="Z42" s="12">
        <v>1</v>
      </c>
      <c r="AA42" s="12">
        <v>1</v>
      </c>
      <c r="AB42" s="12">
        <v>1</v>
      </c>
      <c r="AC42" s="12">
        <v>1</v>
      </c>
      <c r="AD42" s="12">
        <v>1</v>
      </c>
      <c r="AE42" s="12">
        <v>1</v>
      </c>
      <c r="AF42" s="12">
        <v>1</v>
      </c>
      <c r="AG42" s="12">
        <v>1</v>
      </c>
      <c r="AH42" s="12">
        <v>1</v>
      </c>
      <c r="AI42" s="12">
        <v>1</v>
      </c>
      <c r="AJ42" s="12">
        <v>1</v>
      </c>
      <c r="AK42" s="12">
        <v>1</v>
      </c>
      <c r="AL42" s="12">
        <v>1</v>
      </c>
      <c r="AM42" s="12">
        <v>1</v>
      </c>
      <c r="AN42" s="12">
        <v>1</v>
      </c>
      <c r="AO42" s="12">
        <v>1</v>
      </c>
      <c r="AP42" s="12">
        <v>1</v>
      </c>
      <c r="AQ42" s="12">
        <v>1</v>
      </c>
      <c r="AR42" s="12">
        <v>1</v>
      </c>
      <c r="AS42" s="12">
        <v>1</v>
      </c>
      <c r="AT42" s="12">
        <v>1</v>
      </c>
      <c r="AU42" s="12">
        <v>1</v>
      </c>
      <c r="AV42" s="12">
        <v>1</v>
      </c>
      <c r="AW42" s="12">
        <v>1</v>
      </c>
      <c r="AX42" s="12">
        <v>1</v>
      </c>
      <c r="AY42" s="12">
        <v>1</v>
      </c>
      <c r="AZ42" s="12">
        <v>1</v>
      </c>
      <c r="BA42" s="12">
        <v>1</v>
      </c>
      <c r="BB42" s="12">
        <v>1</v>
      </c>
      <c r="BC42" s="12">
        <v>1</v>
      </c>
      <c r="BD42" s="12">
        <v>1</v>
      </c>
      <c r="BE42" s="12">
        <v>1</v>
      </c>
      <c r="BF42" s="12">
        <v>1</v>
      </c>
      <c r="BG42" s="12">
        <v>1</v>
      </c>
      <c r="BH42" s="22">
        <v>36</v>
      </c>
      <c r="BI42" s="250" t="s">
        <v>221</v>
      </c>
      <c r="BJ42" s="249">
        <f>+U42</f>
        <v>0</v>
      </c>
      <c r="BK42" s="74">
        <v>2</v>
      </c>
      <c r="BL42" s="215">
        <f>+BJ42*$BJ$1</f>
        <v>0</v>
      </c>
      <c r="BM42" s="74">
        <v>4</v>
      </c>
      <c r="BN42" s="215">
        <f>+BL42*$BJ$1</f>
        <v>0</v>
      </c>
      <c r="BO42" s="74">
        <v>4</v>
      </c>
      <c r="BP42" s="215">
        <f>+BN42*$BJ$1</f>
        <v>0</v>
      </c>
      <c r="BQ42" s="74">
        <v>4</v>
      </c>
      <c r="BR42" s="215">
        <f>+BP42*$BJ$1</f>
        <v>0</v>
      </c>
      <c r="BS42" s="100">
        <v>4</v>
      </c>
      <c r="BT42" s="244">
        <f>+BR42*$BJ$1</f>
        <v>0</v>
      </c>
      <c r="BU42" s="74">
        <v>4</v>
      </c>
      <c r="BV42" s="215">
        <f>+BT42*$BJ$1</f>
        <v>0</v>
      </c>
      <c r="BW42" s="74">
        <v>4</v>
      </c>
      <c r="BX42" s="215">
        <f>+BV42*$BJ$1</f>
        <v>0</v>
      </c>
      <c r="BY42" s="74">
        <v>4</v>
      </c>
      <c r="BZ42" s="215">
        <f>+BX42*$BJ$1</f>
        <v>0</v>
      </c>
      <c r="CA42" s="74">
        <v>4</v>
      </c>
      <c r="CB42" s="215">
        <f>+BZ42*$BJ$1</f>
        <v>0</v>
      </c>
      <c r="CC42" s="74">
        <v>2</v>
      </c>
      <c r="CD42" s="215">
        <v>0</v>
      </c>
      <c r="CE42" s="74">
        <v>4</v>
      </c>
      <c r="CF42" s="215">
        <v>0</v>
      </c>
      <c r="CG42" s="74">
        <v>3</v>
      </c>
      <c r="CH42" s="244">
        <v>0</v>
      </c>
      <c r="CI42" s="64">
        <f>+BK42+BM42+BO42+BQ42+BS42+BU42+BW42+BY42+CA42+CC42+CE42*4+CG42</f>
        <v>55</v>
      </c>
      <c r="CJ42" s="181">
        <f t="shared" si="2"/>
        <v>0</v>
      </c>
    </row>
    <row r="43" spans="1:256" s="9" customFormat="1" ht="15.75" thickBot="1" x14ac:dyDescent="0.3">
      <c r="A43" s="9">
        <v>22</v>
      </c>
      <c r="B43" s="202" t="s">
        <v>83</v>
      </c>
      <c r="C43" s="10" t="s">
        <v>27</v>
      </c>
      <c r="D43" s="10"/>
      <c r="E43" s="7"/>
      <c r="F43" s="7"/>
      <c r="G43" s="7"/>
      <c r="H43" s="7"/>
      <c r="I43" s="7"/>
      <c r="J43" s="7"/>
      <c r="K43" s="7"/>
      <c r="L43" s="7"/>
      <c r="M43" s="7"/>
      <c r="N43" s="7"/>
      <c r="O43" s="7"/>
      <c r="P43" s="7"/>
      <c r="Q43" s="188"/>
      <c r="R43" s="350"/>
      <c r="S43" s="188"/>
      <c r="T43" s="181">
        <v>250</v>
      </c>
      <c r="U43" s="181">
        <v>250</v>
      </c>
      <c r="V43" s="12"/>
      <c r="W43" s="12"/>
      <c r="X43" s="12"/>
      <c r="Y43" s="12"/>
      <c r="Z43" s="12"/>
      <c r="AA43" s="12">
        <v>6</v>
      </c>
      <c r="AB43" s="12">
        <v>12</v>
      </c>
      <c r="AC43" s="12">
        <v>12</v>
      </c>
      <c r="AD43" s="12">
        <v>12</v>
      </c>
      <c r="AE43" s="12">
        <v>12</v>
      </c>
      <c r="AF43" s="12">
        <v>12</v>
      </c>
      <c r="AG43" s="12">
        <v>12</v>
      </c>
      <c r="AH43" s="12">
        <v>12</v>
      </c>
      <c r="AI43" s="12">
        <v>12</v>
      </c>
      <c r="AJ43" s="12">
        <v>12</v>
      </c>
      <c r="AK43" s="12">
        <v>12</v>
      </c>
      <c r="AL43" s="12">
        <v>12</v>
      </c>
      <c r="AM43" s="12">
        <v>12</v>
      </c>
      <c r="AN43" s="12">
        <v>12</v>
      </c>
      <c r="AO43" s="12">
        <v>12</v>
      </c>
      <c r="AP43" s="12">
        <v>12</v>
      </c>
      <c r="AQ43" s="12">
        <v>12</v>
      </c>
      <c r="AR43" s="12">
        <v>12</v>
      </c>
      <c r="AS43" s="12">
        <v>12</v>
      </c>
      <c r="AT43" s="12">
        <v>12</v>
      </c>
      <c r="AU43" s="12">
        <v>12</v>
      </c>
      <c r="AV43" s="12">
        <v>12</v>
      </c>
      <c r="AW43" s="12">
        <v>12</v>
      </c>
      <c r="AX43" s="12">
        <v>12</v>
      </c>
      <c r="AY43" s="12">
        <v>16</v>
      </c>
      <c r="AZ43" s="12">
        <v>16</v>
      </c>
      <c r="BA43" s="12">
        <v>16</v>
      </c>
      <c r="BB43" s="12">
        <v>16</v>
      </c>
      <c r="BC43" s="12">
        <v>16</v>
      </c>
      <c r="BD43" s="12">
        <v>16</v>
      </c>
      <c r="BE43" s="12">
        <v>16</v>
      </c>
      <c r="BF43" s="12">
        <v>8</v>
      </c>
      <c r="BG43" s="12">
        <v>8</v>
      </c>
      <c r="BH43" s="22">
        <v>410</v>
      </c>
      <c r="BI43" s="188" t="s">
        <v>270</v>
      </c>
      <c r="BJ43" s="249">
        <f>+U43</f>
        <v>250</v>
      </c>
      <c r="BK43" s="76">
        <v>0</v>
      </c>
      <c r="BL43" s="216">
        <f>+U43*BK43</f>
        <v>0</v>
      </c>
      <c r="BM43" s="76">
        <v>30</v>
      </c>
      <c r="BN43" s="235">
        <f>+$U43*BM43</f>
        <v>7500</v>
      </c>
      <c r="BO43" s="76">
        <v>48</v>
      </c>
      <c r="BP43" s="235">
        <f>+$U43*BO43</f>
        <v>12000</v>
      </c>
      <c r="BQ43" s="76">
        <v>48</v>
      </c>
      <c r="BR43" s="235">
        <f>+$U43*BQ43</f>
        <v>12000</v>
      </c>
      <c r="BS43" s="100">
        <v>48</v>
      </c>
      <c r="BT43" s="245">
        <f>+$U43*BS43</f>
        <v>12000</v>
      </c>
      <c r="BU43" s="76">
        <v>48</v>
      </c>
      <c r="BV43" s="235">
        <f>+$U43*BU43</f>
        <v>12000</v>
      </c>
      <c r="BW43" s="76">
        <v>48</v>
      </c>
      <c r="BX43" s="235">
        <f>+$U43*BW43</f>
        <v>12000</v>
      </c>
      <c r="BY43" s="76">
        <v>60</v>
      </c>
      <c r="BZ43" s="235">
        <f>+$U43*BY43</f>
        <v>15000</v>
      </c>
      <c r="CA43" s="76">
        <v>64</v>
      </c>
      <c r="CB43" s="235">
        <f>+$U43*CA43</f>
        <v>16000</v>
      </c>
      <c r="CC43" s="76">
        <v>16</v>
      </c>
      <c r="CD43" s="235">
        <f>+$U43*CC43</f>
        <v>4000</v>
      </c>
      <c r="CE43" s="76">
        <v>88</v>
      </c>
      <c r="CF43" s="235">
        <f>+$U43*CE43</f>
        <v>22000</v>
      </c>
      <c r="CG43" s="76">
        <v>66</v>
      </c>
      <c r="CH43" s="258">
        <f>+$U43*CG43</f>
        <v>16500</v>
      </c>
      <c r="CI43" s="64">
        <f>+BK43+BM43+BO43+BQ43+BS43+BU43+BW43+BY43+CA43+CC43+CE43*4+CG43</f>
        <v>828</v>
      </c>
      <c r="CJ43" s="181">
        <f t="shared" si="2"/>
        <v>207000</v>
      </c>
    </row>
    <row r="44" spans="1:256" s="9" customFormat="1" ht="5.25" customHeight="1" thickBot="1" x14ac:dyDescent="0.3">
      <c r="B44" s="199"/>
      <c r="T44" s="31"/>
      <c r="U44" s="31"/>
      <c r="BH44" s="16"/>
      <c r="BI44" s="39"/>
      <c r="BK44" s="204"/>
      <c r="BL44" s="212"/>
      <c r="BM44" s="204"/>
      <c r="BN44" s="212"/>
      <c r="BO44" s="204"/>
      <c r="BP44" s="212"/>
      <c r="BQ44" s="204"/>
      <c r="BR44" s="204"/>
      <c r="BS44" s="192"/>
      <c r="BT44" s="192"/>
      <c r="BU44" s="204"/>
      <c r="BV44" s="246"/>
      <c r="BW44" s="213"/>
      <c r="BX44" s="242"/>
      <c r="BY44" s="247"/>
      <c r="BZ44" s="204"/>
      <c r="CA44" s="204"/>
      <c r="CB44" s="204"/>
      <c r="CC44" s="204"/>
      <c r="CD44" s="204"/>
      <c r="CE44" s="204"/>
      <c r="CF44" s="204"/>
      <c r="CG44" s="204"/>
      <c r="CH44" s="246"/>
      <c r="CI44" s="64"/>
      <c r="CJ44" s="181"/>
    </row>
    <row r="45" spans="1:256" s="9" customFormat="1" ht="15.75" thickBot="1" x14ac:dyDescent="0.3">
      <c r="A45" s="9">
        <v>23</v>
      </c>
      <c r="B45" s="203" t="s">
        <v>82</v>
      </c>
      <c r="C45" s="13"/>
      <c r="D45" s="13"/>
      <c r="E45" s="13"/>
      <c r="F45" s="13"/>
      <c r="G45" s="13"/>
      <c r="H45" s="13"/>
      <c r="I45" s="13"/>
      <c r="J45" s="13"/>
      <c r="K45" s="13"/>
      <c r="L45" s="13"/>
      <c r="M45" s="13"/>
      <c r="N45" s="13"/>
      <c r="O45" s="13"/>
      <c r="P45" s="13"/>
      <c r="Q45" s="356" t="s">
        <v>261</v>
      </c>
      <c r="R45" s="350"/>
      <c r="S45" s="356" t="s">
        <v>261</v>
      </c>
      <c r="T45" s="30"/>
      <c r="U45" s="30"/>
      <c r="V45" s="10"/>
      <c r="W45" s="10"/>
      <c r="X45" s="10"/>
      <c r="Y45" s="10"/>
      <c r="Z45" s="10"/>
      <c r="AA45" s="10"/>
      <c r="AB45" s="10"/>
      <c r="AC45" s="10">
        <v>2</v>
      </c>
      <c r="AD45" s="10"/>
      <c r="AE45" s="10"/>
      <c r="AF45" s="10"/>
      <c r="AG45" s="10"/>
      <c r="AH45" s="10"/>
      <c r="AI45" s="10"/>
      <c r="AJ45" s="10"/>
      <c r="AK45" s="10">
        <v>2</v>
      </c>
      <c r="AL45" s="10"/>
      <c r="AM45" s="10"/>
      <c r="AN45" s="10"/>
      <c r="AO45" s="10"/>
      <c r="AP45" s="10"/>
      <c r="AQ45" s="10"/>
      <c r="AR45" s="10"/>
      <c r="AS45" s="10">
        <v>2</v>
      </c>
      <c r="AT45" s="10"/>
      <c r="AU45" s="10"/>
      <c r="AV45" s="10"/>
      <c r="AW45" s="10"/>
      <c r="AX45" s="10"/>
      <c r="AY45" s="10"/>
      <c r="AZ45" s="10"/>
      <c r="BA45" s="10">
        <v>2</v>
      </c>
      <c r="BB45" s="10"/>
      <c r="BC45" s="10"/>
      <c r="BD45" s="10"/>
      <c r="BE45" s="10"/>
      <c r="BF45" s="10"/>
      <c r="BG45" s="10">
        <v>2</v>
      </c>
      <c r="BH45" s="22">
        <v>10</v>
      </c>
      <c r="BI45" s="250" t="s">
        <v>221</v>
      </c>
      <c r="BJ45" s="249">
        <f>+U45</f>
        <v>0</v>
      </c>
      <c r="BK45" s="217"/>
      <c r="BL45" s="218"/>
      <c r="BM45" s="219">
        <v>2</v>
      </c>
      <c r="BN45" s="220">
        <f>+BL45*$BJ$1</f>
        <v>0</v>
      </c>
      <c r="BO45" s="217"/>
      <c r="BP45" s="218"/>
      <c r="BQ45" s="219">
        <v>2</v>
      </c>
      <c r="BR45" s="220">
        <f>+BP45*$BJ$1</f>
        <v>0</v>
      </c>
      <c r="BS45" s="219"/>
      <c r="BT45" s="239"/>
      <c r="BU45" s="219">
        <v>2</v>
      </c>
      <c r="BV45" s="241">
        <f>+BT45*$BJ$1</f>
        <v>0</v>
      </c>
      <c r="BW45" s="76"/>
      <c r="BX45" s="243"/>
      <c r="BY45" s="219">
        <v>2</v>
      </c>
      <c r="BZ45" s="220">
        <f>+BX45*$BJ$1</f>
        <v>0</v>
      </c>
      <c r="CA45" s="219"/>
      <c r="CB45" s="239"/>
      <c r="CC45" s="219">
        <v>2</v>
      </c>
      <c r="CD45" s="220">
        <v>0</v>
      </c>
      <c r="CE45" s="219">
        <v>4</v>
      </c>
      <c r="CF45" s="220">
        <v>0</v>
      </c>
      <c r="CG45" s="219">
        <v>4</v>
      </c>
      <c r="CH45" s="241">
        <v>0</v>
      </c>
      <c r="CI45" s="64">
        <f>+BK45+BM45+BO45+BQ45+BS45+BU45+BW45+BY45+CA45+CC45+CE45*4+CG45</f>
        <v>30</v>
      </c>
      <c r="CJ45" s="181">
        <f t="shared" si="2"/>
        <v>0</v>
      </c>
    </row>
    <row r="46" spans="1:256" s="9" customFormat="1" ht="5.25" customHeight="1" thickBot="1" x14ac:dyDescent="0.3">
      <c r="B46" s="199"/>
      <c r="T46" s="31"/>
      <c r="U46" s="31"/>
      <c r="BH46" s="16"/>
      <c r="BI46" s="39"/>
      <c r="BK46" s="204"/>
      <c r="BL46" s="212"/>
      <c r="BM46" s="204"/>
      <c r="BN46" s="212"/>
      <c r="BO46" s="204"/>
      <c r="BP46" s="212"/>
      <c r="BQ46" s="204"/>
      <c r="BR46" s="204"/>
      <c r="BS46" s="204"/>
      <c r="BT46" s="204"/>
      <c r="BU46" s="204"/>
      <c r="BV46" s="204"/>
      <c r="BW46" s="204"/>
      <c r="BX46" s="204"/>
      <c r="BY46" s="204"/>
      <c r="BZ46" s="204"/>
      <c r="CA46" s="204"/>
      <c r="CB46" s="204"/>
      <c r="CC46" s="204"/>
      <c r="CD46" s="204"/>
      <c r="CE46" s="204"/>
      <c r="CF46" s="204"/>
      <c r="CG46" s="204"/>
      <c r="CH46" s="246"/>
      <c r="CI46" s="64"/>
      <c r="CJ46" s="181"/>
    </row>
    <row r="47" spans="1:256" s="9" customFormat="1" ht="105.75" thickBot="1" x14ac:dyDescent="0.3">
      <c r="A47" s="9">
        <v>24</v>
      </c>
      <c r="B47" s="178" t="s">
        <v>98</v>
      </c>
      <c r="C47" s="10" t="s">
        <v>27</v>
      </c>
      <c r="D47" s="10"/>
      <c r="E47" s="10"/>
      <c r="F47" s="10"/>
      <c r="G47" s="10"/>
      <c r="H47" s="10"/>
      <c r="I47" s="10"/>
      <c r="J47" s="10"/>
      <c r="K47" s="10"/>
      <c r="L47" s="10"/>
      <c r="M47" s="10"/>
      <c r="N47" s="10"/>
      <c r="O47" s="10"/>
      <c r="P47" s="10"/>
      <c r="Q47" s="355">
        <v>20000</v>
      </c>
      <c r="R47" s="350"/>
      <c r="S47" s="355">
        <f>+Q47*15</f>
        <v>300000</v>
      </c>
      <c r="T47" s="30">
        <f>+Q47</f>
        <v>20000</v>
      </c>
      <c r="U47" s="30">
        <f>+T47</f>
        <v>20000</v>
      </c>
      <c r="V47" s="14">
        <v>1</v>
      </c>
      <c r="W47" s="14">
        <v>2</v>
      </c>
      <c r="X47" s="10">
        <v>0</v>
      </c>
      <c r="Y47" s="10">
        <v>0</v>
      </c>
      <c r="Z47" s="10">
        <v>0</v>
      </c>
      <c r="AA47" s="10">
        <v>1</v>
      </c>
      <c r="AB47" s="10">
        <v>1</v>
      </c>
      <c r="AC47" s="10">
        <v>5</v>
      </c>
      <c r="AD47" s="10">
        <v>1</v>
      </c>
      <c r="AE47" s="10">
        <v>1</v>
      </c>
      <c r="AF47" s="10">
        <v>1</v>
      </c>
      <c r="AG47" s="10">
        <v>3</v>
      </c>
      <c r="AH47" s="10">
        <v>2</v>
      </c>
      <c r="AI47" s="10">
        <v>3</v>
      </c>
      <c r="AJ47" s="10">
        <v>3</v>
      </c>
      <c r="AK47" s="10">
        <v>1</v>
      </c>
      <c r="AL47" s="10">
        <v>3</v>
      </c>
      <c r="AM47" s="10">
        <v>3</v>
      </c>
      <c r="AN47" s="10">
        <v>3</v>
      </c>
      <c r="AO47" s="10">
        <v>1</v>
      </c>
      <c r="AP47" s="10">
        <v>3</v>
      </c>
      <c r="AQ47" s="10">
        <v>3</v>
      </c>
      <c r="AR47" s="10">
        <v>1</v>
      </c>
      <c r="AS47" s="10">
        <v>5</v>
      </c>
      <c r="AT47" s="10">
        <v>6</v>
      </c>
      <c r="AU47" s="10">
        <v>1</v>
      </c>
      <c r="AV47" s="10">
        <v>3</v>
      </c>
      <c r="AW47" s="10">
        <v>5</v>
      </c>
      <c r="AX47" s="10">
        <v>3</v>
      </c>
      <c r="AY47" s="10">
        <v>3</v>
      </c>
      <c r="AZ47" s="10">
        <v>3</v>
      </c>
      <c r="BA47" s="10">
        <v>1</v>
      </c>
      <c r="BB47" s="10">
        <v>3</v>
      </c>
      <c r="BC47" s="10">
        <v>3</v>
      </c>
      <c r="BD47" s="10">
        <v>3</v>
      </c>
      <c r="BE47" s="10">
        <v>1</v>
      </c>
      <c r="BF47" s="10">
        <v>8</v>
      </c>
      <c r="BG47" s="10">
        <v>7</v>
      </c>
      <c r="BH47" s="22">
        <v>97</v>
      </c>
      <c r="BI47" s="251" t="s">
        <v>216</v>
      </c>
      <c r="BJ47" s="249">
        <f>+Q47</f>
        <v>20000</v>
      </c>
      <c r="BK47" s="219">
        <v>3</v>
      </c>
      <c r="BL47" s="220">
        <v>0</v>
      </c>
      <c r="BM47" s="213">
        <v>7</v>
      </c>
      <c r="BN47" s="214">
        <v>0</v>
      </c>
      <c r="BO47" s="219">
        <v>6</v>
      </c>
      <c r="BP47" s="220">
        <v>0</v>
      </c>
      <c r="BQ47" s="213">
        <v>9</v>
      </c>
      <c r="BR47" s="214">
        <f>+BP47*$BJ$1</f>
        <v>0</v>
      </c>
      <c r="BS47" s="213">
        <v>10</v>
      </c>
      <c r="BT47" s="214">
        <f>+BR47*$BJ$1</f>
        <v>0</v>
      </c>
      <c r="BU47" s="213">
        <v>12</v>
      </c>
      <c r="BV47" s="214">
        <f>+BT47*$BJ$1</f>
        <v>0</v>
      </c>
      <c r="BW47" s="213">
        <v>15</v>
      </c>
      <c r="BX47" s="214">
        <f>+BV47*$BJ$1</f>
        <v>0</v>
      </c>
      <c r="BY47" s="213">
        <v>10</v>
      </c>
      <c r="BZ47" s="214">
        <f>+BX47*$BJ$1</f>
        <v>0</v>
      </c>
      <c r="CA47" s="213">
        <v>10</v>
      </c>
      <c r="CB47" s="214">
        <f>+BZ47*$BJ$1</f>
        <v>0</v>
      </c>
      <c r="CC47" s="213">
        <v>9</v>
      </c>
      <c r="CD47" s="214">
        <v>0</v>
      </c>
      <c r="CE47" s="213">
        <v>16</v>
      </c>
      <c r="CF47" s="214">
        <v>0</v>
      </c>
      <c r="CG47" s="213">
        <v>12</v>
      </c>
      <c r="CH47" s="257">
        <v>0</v>
      </c>
      <c r="CI47" s="240">
        <f>+BK47+BM47+BO47+BQ47+BS47+BU47+BW47+BY47+CA47+CC47+CE47*4+CG47</f>
        <v>167</v>
      </c>
      <c r="CJ47" s="181">
        <f t="shared" si="2"/>
        <v>0</v>
      </c>
    </row>
    <row r="48" spans="1:256" s="3" customFormat="1" ht="16.5" thickBot="1" x14ac:dyDescent="0.3">
      <c r="C48" s="9"/>
      <c r="T48" s="32"/>
      <c r="U48" s="32"/>
      <c r="V48" s="10">
        <f t="shared" ref="V48:BG48" si="5">SUM(V3:V47)</f>
        <v>35</v>
      </c>
      <c r="W48" s="10">
        <f t="shared" si="5"/>
        <v>35</v>
      </c>
      <c r="X48" s="10">
        <f t="shared" si="5"/>
        <v>35</v>
      </c>
      <c r="Y48" s="10">
        <f t="shared" si="5"/>
        <v>35</v>
      </c>
      <c r="Z48" s="10">
        <f t="shared" si="5"/>
        <v>35</v>
      </c>
      <c r="AA48" s="10">
        <f t="shared" si="5"/>
        <v>35</v>
      </c>
      <c r="AB48" s="10">
        <f t="shared" si="5"/>
        <v>35</v>
      </c>
      <c r="AC48" s="10">
        <f t="shared" si="5"/>
        <v>35</v>
      </c>
      <c r="AD48" s="10">
        <f t="shared" si="5"/>
        <v>35</v>
      </c>
      <c r="AE48" s="10">
        <f t="shared" si="5"/>
        <v>35</v>
      </c>
      <c r="AF48" s="10">
        <f t="shared" si="5"/>
        <v>35</v>
      </c>
      <c r="AG48" s="10">
        <f t="shared" si="5"/>
        <v>35</v>
      </c>
      <c r="AH48" s="10">
        <f t="shared" si="5"/>
        <v>35</v>
      </c>
      <c r="AI48" s="10">
        <f t="shared" si="5"/>
        <v>35</v>
      </c>
      <c r="AJ48" s="10">
        <f t="shared" si="5"/>
        <v>35</v>
      </c>
      <c r="AK48" s="10">
        <f t="shared" si="5"/>
        <v>35</v>
      </c>
      <c r="AL48" s="10">
        <f t="shared" si="5"/>
        <v>35</v>
      </c>
      <c r="AM48" s="10">
        <f t="shared" si="5"/>
        <v>35</v>
      </c>
      <c r="AN48" s="10">
        <f t="shared" si="5"/>
        <v>35</v>
      </c>
      <c r="AO48" s="10">
        <f t="shared" si="5"/>
        <v>35</v>
      </c>
      <c r="AP48" s="10">
        <f t="shared" si="5"/>
        <v>35</v>
      </c>
      <c r="AQ48" s="10">
        <f t="shared" si="5"/>
        <v>35</v>
      </c>
      <c r="AR48" s="10">
        <f t="shared" si="5"/>
        <v>35</v>
      </c>
      <c r="AS48" s="10">
        <f t="shared" si="5"/>
        <v>35</v>
      </c>
      <c r="AT48" s="10">
        <f t="shared" si="5"/>
        <v>35</v>
      </c>
      <c r="AU48" s="10">
        <f t="shared" si="5"/>
        <v>35</v>
      </c>
      <c r="AV48" s="10">
        <f t="shared" si="5"/>
        <v>35</v>
      </c>
      <c r="AW48" s="10">
        <f t="shared" si="5"/>
        <v>35</v>
      </c>
      <c r="AX48" s="10">
        <f t="shared" si="5"/>
        <v>35</v>
      </c>
      <c r="AY48" s="10">
        <f t="shared" si="5"/>
        <v>35</v>
      </c>
      <c r="AZ48" s="10">
        <f t="shared" si="5"/>
        <v>35</v>
      </c>
      <c r="BA48" s="10">
        <f t="shared" si="5"/>
        <v>35</v>
      </c>
      <c r="BB48" s="10">
        <f t="shared" si="5"/>
        <v>35</v>
      </c>
      <c r="BC48" s="10">
        <f t="shared" si="5"/>
        <v>35</v>
      </c>
      <c r="BD48" s="10">
        <f t="shared" si="5"/>
        <v>35</v>
      </c>
      <c r="BE48" s="10">
        <f t="shared" si="5"/>
        <v>35</v>
      </c>
      <c r="BF48" s="10">
        <f t="shared" si="5"/>
        <v>35</v>
      </c>
      <c r="BG48" s="10">
        <f t="shared" si="5"/>
        <v>35</v>
      </c>
      <c r="BH48" s="22">
        <v>1330</v>
      </c>
      <c r="BI48" s="39"/>
      <c r="BJ48" s="9"/>
      <c r="BK48" s="219">
        <f t="shared" ref="BK48:CH48" si="6">SUM(BK3:BK47)</f>
        <v>140</v>
      </c>
      <c r="BL48" s="221">
        <f t="shared" si="6"/>
        <v>209790</v>
      </c>
      <c r="BM48" s="76">
        <f t="shared" si="6"/>
        <v>140</v>
      </c>
      <c r="BN48" s="236">
        <f t="shared" si="6"/>
        <v>259810</v>
      </c>
      <c r="BO48" s="237">
        <f t="shared" si="6"/>
        <v>140</v>
      </c>
      <c r="BP48" s="238">
        <f t="shared" si="6"/>
        <v>501250</v>
      </c>
      <c r="BQ48" s="76">
        <f t="shared" si="6"/>
        <v>140</v>
      </c>
      <c r="BR48" s="236">
        <f t="shared" si="6"/>
        <v>265780</v>
      </c>
      <c r="BS48" s="76">
        <f t="shared" si="6"/>
        <v>140</v>
      </c>
      <c r="BT48" s="236">
        <f t="shared" si="6"/>
        <v>82010</v>
      </c>
      <c r="BU48" s="76">
        <f t="shared" si="6"/>
        <v>140</v>
      </c>
      <c r="BV48" s="236">
        <f t="shared" si="6"/>
        <v>121750</v>
      </c>
      <c r="BW48" s="76">
        <f t="shared" si="6"/>
        <v>140</v>
      </c>
      <c r="BX48" s="236">
        <f t="shared" si="6"/>
        <v>149580</v>
      </c>
      <c r="BY48" s="76">
        <f t="shared" si="6"/>
        <v>140</v>
      </c>
      <c r="BZ48" s="236">
        <f t="shared" si="6"/>
        <v>122050</v>
      </c>
      <c r="CA48" s="76">
        <f t="shared" si="6"/>
        <v>140</v>
      </c>
      <c r="CB48" s="236">
        <f t="shared" si="6"/>
        <v>47150</v>
      </c>
      <c r="CC48" s="76">
        <f t="shared" si="6"/>
        <v>66</v>
      </c>
      <c r="CD48" s="236">
        <f t="shared" si="6"/>
        <v>103815</v>
      </c>
      <c r="CE48" s="76">
        <f t="shared" si="6"/>
        <v>140</v>
      </c>
      <c r="CF48" s="236">
        <f t="shared" si="6"/>
        <v>33750</v>
      </c>
      <c r="CG48" s="76">
        <f t="shared" si="6"/>
        <v>105</v>
      </c>
      <c r="CH48" s="236">
        <f t="shared" si="6"/>
        <v>34242.5</v>
      </c>
      <c r="CI48" s="262">
        <f>+BK48+BM48+BO48+BQ48+BS48+BU48+BW48+BY48+CA48+CC48+CE48*4+CG48</f>
        <v>1991</v>
      </c>
      <c r="CJ48" s="263">
        <f>+BL48+BN48+BP48+BR48+BT48+BV48+BX48+BZ48+CB48+CD48+CF48*4+CH48</f>
        <v>2032227.5</v>
      </c>
    </row>
    <row r="49" spans="3:89" ht="16.5" thickBot="1" x14ac:dyDescent="0.3">
      <c r="BJ49" s="46" t="s">
        <v>222</v>
      </c>
      <c r="BK49" s="254">
        <f>+BK48</f>
        <v>140</v>
      </c>
      <c r="BL49" s="205"/>
      <c r="BM49" s="253">
        <f>+BM48+BK49</f>
        <v>280</v>
      </c>
      <c r="BN49" s="205"/>
      <c r="BO49" s="253">
        <f>+BO48+BM49</f>
        <v>420</v>
      </c>
      <c r="BP49" s="205"/>
      <c r="BQ49" s="253">
        <f>+BQ48+BO49</f>
        <v>560</v>
      </c>
      <c r="BR49" s="205"/>
      <c r="BS49" s="253">
        <f>+BS48+BQ49</f>
        <v>700</v>
      </c>
      <c r="BT49" s="205"/>
      <c r="BU49" s="253">
        <f>+BU48+BS49</f>
        <v>840</v>
      </c>
      <c r="BV49" s="205"/>
      <c r="BW49" s="253">
        <f>+BW48+BU49</f>
        <v>980</v>
      </c>
      <c r="BX49" s="205"/>
      <c r="BY49" s="253">
        <f>+BY48+BW49</f>
        <v>1120</v>
      </c>
      <c r="BZ49" s="205"/>
      <c r="CA49" s="253">
        <f>+CA48+BY49</f>
        <v>1260</v>
      </c>
      <c r="CB49" s="205"/>
      <c r="CC49" s="253">
        <f>+CC48+CA49</f>
        <v>1326</v>
      </c>
      <c r="CD49" s="205"/>
      <c r="CE49" s="253">
        <f>+CE48*4+CC49</f>
        <v>1886</v>
      </c>
      <c r="CF49" s="205"/>
      <c r="CG49" s="259">
        <f>+CG48+CE49</f>
        <v>1991</v>
      </c>
      <c r="CH49" s="260"/>
      <c r="CI49" s="252"/>
      <c r="CJ49" s="265"/>
    </row>
    <row r="50" spans="3:89" ht="16.5" thickBot="1" x14ac:dyDescent="0.3">
      <c r="C50" s="174" t="s">
        <v>142</v>
      </c>
      <c r="D50" s="175"/>
      <c r="E50" s="175"/>
      <c r="F50" s="175"/>
      <c r="G50" s="175"/>
      <c r="H50" s="175"/>
      <c r="I50" s="175"/>
      <c r="J50" s="175"/>
      <c r="K50" s="175"/>
      <c r="L50" s="175"/>
      <c r="M50" s="175"/>
      <c r="N50" s="175"/>
      <c r="O50" s="175"/>
      <c r="P50" s="175"/>
      <c r="Q50" s="175"/>
      <c r="R50" s="175"/>
      <c r="S50" s="175"/>
      <c r="T50" s="177" t="s">
        <v>212</v>
      </c>
      <c r="U50" s="177" t="s">
        <v>229</v>
      </c>
      <c r="BJ50" s="46" t="s">
        <v>224</v>
      </c>
      <c r="BK50" s="205"/>
      <c r="BL50" s="261">
        <f>+BL48</f>
        <v>209790</v>
      </c>
      <c r="BM50" s="205"/>
      <c r="BN50" s="261">
        <f>+BN48+BL50</f>
        <v>469600</v>
      </c>
      <c r="BO50" s="205"/>
      <c r="BP50" s="261">
        <f>+BP48+BN50</f>
        <v>970850</v>
      </c>
      <c r="BQ50" s="205"/>
      <c r="BR50" s="261">
        <f>+BR48+BP50</f>
        <v>1236630</v>
      </c>
      <c r="BS50" s="205"/>
      <c r="BT50" s="261">
        <f>+BT48+BR50</f>
        <v>1318640</v>
      </c>
      <c r="BU50" s="205"/>
      <c r="BV50" s="261">
        <f>+BV48+BT50</f>
        <v>1440390</v>
      </c>
      <c r="BW50" s="205"/>
      <c r="BX50" s="261">
        <f>+BX48+BV50</f>
        <v>1589970</v>
      </c>
      <c r="BY50" s="205"/>
      <c r="BZ50" s="261">
        <f>+BZ48+BX50</f>
        <v>1712020</v>
      </c>
      <c r="CA50" s="205"/>
      <c r="CB50" s="261">
        <f>+CB48+BZ50</f>
        <v>1759170</v>
      </c>
      <c r="CC50" s="205"/>
      <c r="CD50" s="261">
        <f>+CD48+CB50</f>
        <v>1862985</v>
      </c>
      <c r="CE50" s="205"/>
      <c r="CF50" s="261">
        <f>+CF48*4+CD50</f>
        <v>1997985</v>
      </c>
      <c r="CG50" s="205"/>
      <c r="CH50" s="263">
        <f>+CH48+CF50</f>
        <v>2032227.5</v>
      </c>
      <c r="CI50" s="264"/>
      <c r="CJ50" s="265"/>
    </row>
    <row r="51" spans="3:89" ht="15.75" thickBot="1" x14ac:dyDescent="0.3">
      <c r="C51" s="174" t="s">
        <v>131</v>
      </c>
      <c r="D51" s="175"/>
      <c r="E51" s="175"/>
      <c r="F51" s="175"/>
      <c r="G51" s="175"/>
      <c r="H51" s="175"/>
      <c r="I51" s="175"/>
      <c r="J51" s="175"/>
      <c r="K51" s="175"/>
      <c r="L51" s="175"/>
      <c r="M51" s="175"/>
      <c r="N51" s="175"/>
      <c r="O51" s="175"/>
      <c r="P51" s="175"/>
      <c r="Q51" s="175"/>
      <c r="R51" s="175"/>
      <c r="S51" s="175"/>
      <c r="T51" s="176">
        <f>+U7+U10+U12+U14+U16+U18+U20+U26+U28+U30+U32+U36+U38</f>
        <v>14620</v>
      </c>
      <c r="U51" s="176">
        <f>+U7+U10+U12+U14+U16+U18+U20+U22+U24+U26+U28+U30+U32+U34+U36+U38</f>
        <v>28420</v>
      </c>
      <c r="CJ51" s="37">
        <f>+CH50</f>
        <v>2032227.5</v>
      </c>
    </row>
    <row r="52" spans="3:89" ht="16.5" thickBot="1" x14ac:dyDescent="0.3">
      <c r="BJ52" s="46" t="s">
        <v>123</v>
      </c>
      <c r="BL52" s="266">
        <f>+'Costos Fijos'!B10</f>
        <v>67500</v>
      </c>
      <c r="BN52" s="266">
        <f>+BL52</f>
        <v>67500</v>
      </c>
      <c r="BP52" s="266">
        <f>+BN52</f>
        <v>67500</v>
      </c>
      <c r="BR52" s="266">
        <f>+BP52</f>
        <v>67500</v>
      </c>
      <c r="BT52" s="266">
        <f>+BR52</f>
        <v>67500</v>
      </c>
      <c r="BV52" s="266">
        <f>+BT52</f>
        <v>67500</v>
      </c>
      <c r="BX52" s="266">
        <f>+BV52</f>
        <v>67500</v>
      </c>
      <c r="BZ52" s="266">
        <f>+BX52</f>
        <v>67500</v>
      </c>
      <c r="CB52" s="266">
        <f>+BZ52</f>
        <v>67500</v>
      </c>
      <c r="CD52" s="266">
        <f>+CB52</f>
        <v>67500</v>
      </c>
      <c r="CF52" s="266">
        <f>+CD52*4</f>
        <v>270000</v>
      </c>
      <c r="CH52" s="266">
        <f>+CD52</f>
        <v>67500</v>
      </c>
      <c r="CJ52" s="41">
        <f>+BL52+BN52+BP52+BR52+BT52+BV52+BX52+BZ52+CB52+CD52+CF52+CH52</f>
        <v>1012500</v>
      </c>
    </row>
    <row r="53" spans="3:89" ht="16.5" thickBot="1" x14ac:dyDescent="0.3">
      <c r="BJ53" s="46" t="s">
        <v>226</v>
      </c>
      <c r="BL53" s="268">
        <f>+BL48+BL52</f>
        <v>277290</v>
      </c>
      <c r="BM53" s="48"/>
      <c r="BN53" s="268">
        <f t="shared" ref="BN53:CH53" si="7">+BN48+BN52</f>
        <v>327310</v>
      </c>
      <c r="BO53" s="48"/>
      <c r="BP53" s="268">
        <f t="shared" si="7"/>
        <v>568750</v>
      </c>
      <c r="BQ53" s="48"/>
      <c r="BR53" s="268">
        <f t="shared" si="7"/>
        <v>333280</v>
      </c>
      <c r="BS53" s="48"/>
      <c r="BT53" s="268">
        <f t="shared" si="7"/>
        <v>149510</v>
      </c>
      <c r="BU53" s="48"/>
      <c r="BV53" s="268">
        <f t="shared" si="7"/>
        <v>189250</v>
      </c>
      <c r="BW53" s="48"/>
      <c r="BX53" s="268">
        <f t="shared" si="7"/>
        <v>217080</v>
      </c>
      <c r="BY53" s="48"/>
      <c r="BZ53" s="268">
        <f t="shared" si="7"/>
        <v>189550</v>
      </c>
      <c r="CA53" s="48"/>
      <c r="CB53" s="268">
        <f t="shared" si="7"/>
        <v>114650</v>
      </c>
      <c r="CC53" s="48"/>
      <c r="CD53" s="268">
        <f t="shared" si="7"/>
        <v>171315</v>
      </c>
      <c r="CE53" s="48"/>
      <c r="CF53" s="268">
        <f>+CF48*4+CF52</f>
        <v>405000</v>
      </c>
      <c r="CG53" s="48"/>
      <c r="CH53" s="268">
        <f t="shared" si="7"/>
        <v>101742.5</v>
      </c>
      <c r="CI53" s="9"/>
      <c r="CJ53" s="269">
        <f>SUM(CJ51:CJ52)</f>
        <v>3044727.5</v>
      </c>
    </row>
    <row r="54" spans="3:89" ht="15.75" thickBot="1" x14ac:dyDescent="0.3"/>
    <row r="55" spans="3:89" ht="16.5" thickBot="1" x14ac:dyDescent="0.3">
      <c r="BJ55" s="46" t="s">
        <v>227</v>
      </c>
      <c r="BL55" s="268">
        <f>+BL53/$BJ$1</f>
        <v>5899.7872340425529</v>
      </c>
      <c r="BM55" s="49"/>
      <c r="BN55" s="268">
        <f>+BN53/$BJ$1</f>
        <v>6964.0425531914898</v>
      </c>
      <c r="BO55" s="49"/>
      <c r="BP55" s="268">
        <f>+BP53/$BJ$1</f>
        <v>12101.063829787234</v>
      </c>
      <c r="BQ55" s="49"/>
      <c r="BR55" s="268">
        <f>+BR53/$BJ$1</f>
        <v>7091.0638297872338</v>
      </c>
      <c r="BS55" s="49"/>
      <c r="BT55" s="268">
        <f>+BT53/$BJ$1</f>
        <v>3181.0638297872342</v>
      </c>
      <c r="BU55" s="49"/>
      <c r="BV55" s="268">
        <f>+BV53/$BJ$1</f>
        <v>4026.5957446808511</v>
      </c>
      <c r="BW55" s="49"/>
      <c r="BX55" s="268">
        <f>+BX53/$BJ$1</f>
        <v>4618.7234042553191</v>
      </c>
      <c r="BY55" s="49"/>
      <c r="BZ55" s="268">
        <f>+BZ53/$BJ$1</f>
        <v>4032.9787234042551</v>
      </c>
      <c r="CA55" s="49"/>
      <c r="CB55" s="268">
        <f>+CB53/$BJ$1</f>
        <v>2439.3617021276596</v>
      </c>
      <c r="CC55" s="49"/>
      <c r="CD55" s="268">
        <f>+CD53/$BJ$1</f>
        <v>3645</v>
      </c>
      <c r="CE55" s="49"/>
      <c r="CF55" s="268">
        <f>+CF53/$BJ$1</f>
        <v>8617.021276595744</v>
      </c>
      <c r="CG55" s="49"/>
      <c r="CH55" s="268">
        <f>+CH53/$BJ$1</f>
        <v>2164.7340425531916</v>
      </c>
      <c r="CJ55" s="269">
        <f>+CJ53/10</f>
        <v>304472.75</v>
      </c>
      <c r="CK55" s="267" t="s">
        <v>228</v>
      </c>
    </row>
    <row r="56" spans="3:89" x14ac:dyDescent="0.25">
      <c r="BJ56" s="44"/>
      <c r="BR56" s="50"/>
    </row>
    <row r="57" spans="3:89" ht="24" x14ac:dyDescent="0.4">
      <c r="BJ57" s="270" t="s">
        <v>142</v>
      </c>
    </row>
    <row r="58" spans="3:89" ht="15.75" x14ac:dyDescent="0.25">
      <c r="BI58" s="271"/>
      <c r="BJ58" s="277" t="s">
        <v>124</v>
      </c>
      <c r="BK58" s="205"/>
      <c r="BL58" s="55">
        <f>+BJ7+BJ10+BJ12</f>
        <v>3030</v>
      </c>
      <c r="BM58" s="205"/>
      <c r="BN58" s="55">
        <f>+BJ16+BJ18+BJ20</f>
        <v>4380</v>
      </c>
      <c r="BO58" s="205"/>
      <c r="BP58" s="55"/>
      <c r="BQ58" s="205"/>
      <c r="BR58" s="175"/>
      <c r="BS58" s="205"/>
      <c r="BT58" s="272">
        <f>+BJ38</f>
        <v>580</v>
      </c>
      <c r="BU58" s="205"/>
      <c r="BV58" s="272">
        <f>+BJ32</f>
        <v>1500</v>
      </c>
      <c r="BW58" s="205"/>
      <c r="BX58" s="272">
        <f>+BJ36</f>
        <v>2000</v>
      </c>
      <c r="BY58" s="205"/>
      <c r="BZ58" s="272">
        <f>+BJ30</f>
        <v>1600</v>
      </c>
      <c r="CA58" s="205"/>
      <c r="CB58" s="272"/>
      <c r="CC58" s="205"/>
      <c r="CD58" s="272">
        <f>+BJ26+BJ28</f>
        <v>1530</v>
      </c>
      <c r="CE58" s="205"/>
      <c r="CF58" s="272">
        <f>+BL26+BL28</f>
        <v>0</v>
      </c>
      <c r="CG58" s="205"/>
      <c r="CH58" s="272">
        <f>+BN26+BN28</f>
        <v>0</v>
      </c>
      <c r="CI58" s="278">
        <f>SUM(BL58:CG58)</f>
        <v>14620</v>
      </c>
    </row>
    <row r="59" spans="3:89" ht="15.75" x14ac:dyDescent="0.25">
      <c r="BI59" s="271"/>
      <c r="BJ59" s="277" t="s">
        <v>125</v>
      </c>
      <c r="BK59" s="205"/>
      <c r="BL59" s="55">
        <v>0</v>
      </c>
      <c r="BM59" s="205"/>
      <c r="BN59" s="55"/>
      <c r="BO59" s="205"/>
      <c r="BP59" s="55">
        <f>+BJ22+BJ34</f>
        <v>9400</v>
      </c>
      <c r="BQ59" s="205"/>
      <c r="BR59" s="272">
        <f>+BJ24</f>
        <v>4400</v>
      </c>
      <c r="BS59" s="205"/>
      <c r="BT59" s="175"/>
      <c r="BU59" s="205"/>
      <c r="BV59" s="272"/>
      <c r="BW59" s="205"/>
      <c r="BX59" s="272"/>
      <c r="BY59" s="205"/>
      <c r="BZ59" s="272"/>
      <c r="CA59" s="205"/>
      <c r="CB59" s="272"/>
      <c r="CC59" s="205"/>
      <c r="CD59" s="272"/>
      <c r="CE59" s="205"/>
      <c r="CF59" s="272"/>
      <c r="CG59" s="205"/>
      <c r="CH59" s="272"/>
      <c r="CI59" s="278">
        <f>SUM(BL59:CG59)</f>
        <v>13800</v>
      </c>
    </row>
    <row r="60" spans="3:89" ht="18.75" x14ac:dyDescent="0.25">
      <c r="BI60" s="271"/>
      <c r="BJ60" s="277" t="s">
        <v>124</v>
      </c>
      <c r="BK60" s="205"/>
      <c r="BL60" s="279">
        <f>SUM(BL58:BL59)</f>
        <v>3030</v>
      </c>
      <c r="BM60" s="205"/>
      <c r="BN60" s="279">
        <f>SUM(BN58:BN59)</f>
        <v>4380</v>
      </c>
      <c r="BO60" s="205"/>
      <c r="BP60" s="279">
        <f>SUM(BP58:BP59)</f>
        <v>9400</v>
      </c>
      <c r="BQ60" s="205"/>
      <c r="BR60" s="279">
        <f>SUM(BR58:BR59)</f>
        <v>4400</v>
      </c>
      <c r="BS60" s="205"/>
      <c r="BT60" s="279">
        <f>SUM(BT58:BT59)</f>
        <v>580</v>
      </c>
      <c r="BU60" s="205"/>
      <c r="BV60" s="279">
        <f>SUM(BV58:BV59)</f>
        <v>1500</v>
      </c>
      <c r="BW60" s="205"/>
      <c r="BX60" s="279">
        <f>SUM(BX58:BX59)</f>
        <v>2000</v>
      </c>
      <c r="BY60" s="205"/>
      <c r="BZ60" s="279">
        <f>SUM(BZ58:BZ59)</f>
        <v>1600</v>
      </c>
      <c r="CA60" s="205"/>
      <c r="CB60" s="272"/>
      <c r="CC60" s="205"/>
      <c r="CD60" s="279">
        <f>SUM(CD58:CD59)</f>
        <v>1530</v>
      </c>
      <c r="CE60" s="205"/>
      <c r="CF60" s="272"/>
      <c r="CG60" s="205"/>
      <c r="CH60" s="272"/>
      <c r="CI60" s="280">
        <f>SUM(BL60:CG60)</f>
        <v>28420</v>
      </c>
    </row>
    <row r="61" spans="3:89" ht="6" customHeight="1" x14ac:dyDescent="0.25">
      <c r="BJ61" s="44"/>
      <c r="BK61" s="9"/>
      <c r="BL61" s="275"/>
      <c r="BM61" s="9"/>
      <c r="BN61" s="275"/>
      <c r="BO61" s="9"/>
      <c r="BP61" s="275"/>
      <c r="BQ61" s="9"/>
      <c r="BR61" s="50"/>
      <c r="BS61" s="9"/>
      <c r="BU61" s="9"/>
      <c r="BV61" s="50"/>
      <c r="BW61" s="9"/>
      <c r="BX61" s="50"/>
      <c r="BY61" s="9"/>
      <c r="BZ61" s="50"/>
      <c r="CA61" s="9"/>
      <c r="CB61" s="50"/>
      <c r="CC61" s="9"/>
      <c r="CD61" s="50"/>
      <c r="CE61" s="9"/>
      <c r="CF61" s="50"/>
      <c r="CG61" s="9"/>
      <c r="CH61" s="50"/>
      <c r="CI61" s="276"/>
      <c r="CJ61"/>
    </row>
    <row r="62" spans="3:89" ht="15.75" x14ac:dyDescent="0.25">
      <c r="BI62" s="271"/>
      <c r="BJ62" s="277" t="s">
        <v>230</v>
      </c>
      <c r="BK62" s="205"/>
      <c r="BL62" s="273">
        <f>+BL55</f>
        <v>5899.7872340425529</v>
      </c>
      <c r="BM62" s="205"/>
      <c r="BN62" s="273">
        <f t="shared" ref="BN62" si="8">+BN55</f>
        <v>6964.0425531914898</v>
      </c>
      <c r="BO62" s="205"/>
      <c r="BP62" s="273">
        <f t="shared" ref="BP62" si="9">+BP55</f>
        <v>12101.063829787234</v>
      </c>
      <c r="BQ62" s="205"/>
      <c r="BR62" s="273">
        <f t="shared" ref="BR62" si="10">+BR55</f>
        <v>7091.0638297872338</v>
      </c>
      <c r="BS62" s="205"/>
      <c r="BT62" s="273">
        <f t="shared" ref="BT62" si="11">+BT55</f>
        <v>3181.0638297872342</v>
      </c>
      <c r="BU62" s="205"/>
      <c r="BV62" s="273">
        <f t="shared" ref="BV62" si="12">+BV55</f>
        <v>4026.5957446808511</v>
      </c>
      <c r="BW62" s="205"/>
      <c r="BX62" s="273">
        <f t="shared" ref="BX62" si="13">+BX55</f>
        <v>4618.7234042553191</v>
      </c>
      <c r="BY62" s="205"/>
      <c r="BZ62" s="273">
        <f t="shared" ref="BZ62" si="14">+BZ55</f>
        <v>4032.9787234042551</v>
      </c>
      <c r="CA62" s="205"/>
      <c r="CB62" s="273">
        <f t="shared" ref="CB62" si="15">+CB55</f>
        <v>2439.3617021276596</v>
      </c>
      <c r="CC62" s="205"/>
      <c r="CD62" s="273">
        <f t="shared" ref="CD62" si="16">+CD55</f>
        <v>3645</v>
      </c>
      <c r="CE62" s="205"/>
      <c r="CF62" s="273">
        <f t="shared" ref="CF62" si="17">+CF55</f>
        <v>8617.021276595744</v>
      </c>
      <c r="CG62" s="205"/>
      <c r="CH62" s="273">
        <f t="shared" ref="CH62" si="18">+CH55</f>
        <v>2164.7340425531916</v>
      </c>
      <c r="CI62" s="282">
        <f>SUM(BL62:CH62)</f>
        <v>64781.436170212772</v>
      </c>
      <c r="CJ62" s="281" t="s">
        <v>231</v>
      </c>
    </row>
    <row r="63" spans="3:89" ht="15.75" x14ac:dyDescent="0.25">
      <c r="BI63" s="271"/>
      <c r="BJ63" s="277" t="s">
        <v>232</v>
      </c>
      <c r="BK63" s="205"/>
      <c r="BL63" s="273">
        <f>+BL55-BL59</f>
        <v>5899.7872340425529</v>
      </c>
      <c r="BM63" s="205"/>
      <c r="BN63" s="273">
        <f>+BN55-BN59</f>
        <v>6964.0425531914898</v>
      </c>
      <c r="BO63" s="205"/>
      <c r="BP63" s="273">
        <f>+BP55-BP59</f>
        <v>2701.0638297872338</v>
      </c>
      <c r="BQ63" s="205"/>
      <c r="BR63" s="273">
        <f>+BR55-BR59</f>
        <v>2691.0638297872338</v>
      </c>
      <c r="BS63" s="205"/>
      <c r="BT63" s="273">
        <f>+BT55-BT59</f>
        <v>3181.0638297872342</v>
      </c>
      <c r="BU63" s="205"/>
      <c r="BV63" s="273">
        <f>+BV55-BV59</f>
        <v>4026.5957446808511</v>
      </c>
      <c r="BW63" s="205"/>
      <c r="BX63" s="273">
        <f>+BX55-BX59</f>
        <v>4618.7234042553191</v>
      </c>
      <c r="BY63" s="205"/>
      <c r="BZ63" s="273">
        <f>+BZ55-BZ59</f>
        <v>4032.9787234042551</v>
      </c>
      <c r="CA63" s="205"/>
      <c r="CB63" s="273">
        <f>+CB55-CB59</f>
        <v>2439.3617021276596</v>
      </c>
      <c r="CC63" s="205"/>
      <c r="CD63" s="273">
        <f>+CD55-CD59</f>
        <v>3645</v>
      </c>
      <c r="CE63" s="205"/>
      <c r="CF63" s="273">
        <f>+CF55-CF59</f>
        <v>8617.021276595744</v>
      </c>
      <c r="CG63" s="205"/>
      <c r="CH63" s="273">
        <f>+CH55-CH59</f>
        <v>2164.7340425531916</v>
      </c>
      <c r="CI63" s="282">
        <f t="shared" ref="CI63:CI64" si="19">SUM(BL63:CH63)</f>
        <v>50981.436170212772</v>
      </c>
      <c r="CJ63" s="281" t="s">
        <v>233</v>
      </c>
    </row>
    <row r="64" spans="3:89" ht="15.75" x14ac:dyDescent="0.25">
      <c r="BI64" s="271"/>
      <c r="BJ64" s="277" t="s">
        <v>126</v>
      </c>
      <c r="BK64" s="205"/>
      <c r="BL64" s="273">
        <f>+BL55-BL58-BL59</f>
        <v>2869.7872340425529</v>
      </c>
      <c r="BM64" s="205"/>
      <c r="BN64" s="273">
        <f>+BN55-BN58-BN59</f>
        <v>2584.0425531914898</v>
      </c>
      <c r="BO64" s="205"/>
      <c r="BP64" s="273">
        <f>+BP55-BP58-BP59</f>
        <v>2701.0638297872338</v>
      </c>
      <c r="BQ64" s="205"/>
      <c r="BR64" s="273">
        <f>+BR55-BR58-BR59</f>
        <v>2691.0638297872338</v>
      </c>
      <c r="BS64" s="205"/>
      <c r="BT64" s="273">
        <f>+BT55-BT58-BT59</f>
        <v>2601.0638297872342</v>
      </c>
      <c r="BU64" s="205"/>
      <c r="BV64" s="273">
        <f>+BV55-BV58-BV59</f>
        <v>2526.5957446808511</v>
      </c>
      <c r="BW64" s="205"/>
      <c r="BX64" s="273">
        <f>+BX55-BX58-BX59</f>
        <v>2618.7234042553191</v>
      </c>
      <c r="BY64" s="205"/>
      <c r="BZ64" s="273">
        <f>+BZ55-BZ58-BZ59</f>
        <v>2432.9787234042551</v>
      </c>
      <c r="CA64" s="205"/>
      <c r="CB64" s="273">
        <f>+CB55-CB58-CB59</f>
        <v>2439.3617021276596</v>
      </c>
      <c r="CC64" s="205"/>
      <c r="CD64" s="273">
        <f>+CD55-CD58-CD59</f>
        <v>2115</v>
      </c>
      <c r="CE64" s="205"/>
      <c r="CF64" s="273">
        <f>+CF55-CF58-CF59</f>
        <v>8617.021276595744</v>
      </c>
      <c r="CG64" s="205"/>
      <c r="CH64" s="273">
        <f>+CH55-CH58-CH59</f>
        <v>2164.7340425531916</v>
      </c>
      <c r="CI64" s="290">
        <f t="shared" si="19"/>
        <v>36361.436170212772</v>
      </c>
      <c r="CJ64" s="281" t="s">
        <v>234</v>
      </c>
    </row>
    <row r="65" spans="20:88" ht="15.75" thickBot="1" x14ac:dyDescent="0.3">
      <c r="CI65" s="289"/>
      <c r="CJ65"/>
    </row>
    <row r="66" spans="20:88" ht="16.5" thickBot="1" x14ac:dyDescent="0.3">
      <c r="BP66" s="58">
        <f>+CI64</f>
        <v>36361.436170212772</v>
      </c>
      <c r="BQ66" s="288"/>
      <c r="BR66" s="289"/>
      <c r="BS66" s="288"/>
      <c r="BT66" s="289"/>
      <c r="BU66" s="288"/>
      <c r="BV66" s="289"/>
      <c r="BW66" s="288"/>
      <c r="BX66" s="289"/>
      <c r="BY66" s="288"/>
      <c r="BZ66" s="289"/>
      <c r="CA66" s="288"/>
      <c r="CB66" s="289"/>
      <c r="CC66" s="288"/>
      <c r="CD66" s="289"/>
      <c r="CE66" s="288"/>
      <c r="CF66" s="289"/>
      <c r="CG66" s="288"/>
      <c r="CH66" s="289"/>
      <c r="CI66" s="289"/>
      <c r="CJ66"/>
    </row>
    <row r="67" spans="20:88" ht="15.75" thickBot="1" x14ac:dyDescent="0.3">
      <c r="BO67" s="44" t="s">
        <v>130</v>
      </c>
      <c r="CJ67"/>
    </row>
    <row r="68" spans="20:88" ht="21.75" thickBot="1" x14ac:dyDescent="0.4">
      <c r="BJ68" s="44"/>
      <c r="BO68" s="44" t="s">
        <v>235</v>
      </c>
      <c r="BP68" s="297">
        <f>+BP66/18</f>
        <v>2020.0797872340429</v>
      </c>
      <c r="BQ68" s="292" t="s">
        <v>236</v>
      </c>
      <c r="BU68" s="291" t="s">
        <v>121</v>
      </c>
      <c r="BV68" s="296">
        <v>47</v>
      </c>
      <c r="CD68" s="50"/>
      <c r="CJ68"/>
    </row>
    <row r="69" spans="20:88" ht="6.75" customHeight="1" x14ac:dyDescent="0.25">
      <c r="T69" s="293"/>
      <c r="U69" s="293"/>
      <c r="BJ69" s="44"/>
      <c r="BL69" s="294"/>
      <c r="BN69" s="44"/>
      <c r="BP69" s="295"/>
      <c r="BQ69" s="292"/>
      <c r="BU69"/>
      <c r="CD69" s="50"/>
      <c r="CJ69"/>
    </row>
    <row r="70" spans="20:88" ht="15.75" x14ac:dyDescent="0.25">
      <c r="T70" s="293"/>
      <c r="U70" s="293"/>
      <c r="BJ70" s="44"/>
      <c r="BL70" s="294"/>
      <c r="BN70"/>
      <c r="BO70" s="44" t="s">
        <v>237</v>
      </c>
      <c r="BP70" s="295">
        <v>200</v>
      </c>
      <c r="BQ70" s="292"/>
      <c r="BU70"/>
      <c r="CD70" s="50"/>
      <c r="CJ70"/>
    </row>
    <row r="71" spans="20:88" ht="15.75" x14ac:dyDescent="0.25">
      <c r="T71" s="293"/>
      <c r="U71" s="293"/>
      <c r="BJ71" s="44"/>
      <c r="BL71" s="294"/>
      <c r="BN71"/>
      <c r="BO71" s="44" t="s">
        <v>238</v>
      </c>
      <c r="BP71" s="295">
        <f>+T51/18</f>
        <v>812.22222222222217</v>
      </c>
      <c r="BQ71" s="292"/>
      <c r="CD71" s="50"/>
      <c r="CJ71"/>
    </row>
    <row r="72" spans="20:88" ht="15.75" x14ac:dyDescent="0.25">
      <c r="BO72" s="44" t="s">
        <v>132</v>
      </c>
      <c r="BP72" s="295">
        <f>+U51/18</f>
        <v>1578.8888888888889</v>
      </c>
      <c r="CJ72"/>
    </row>
    <row r="74" spans="20:88" ht="15.75" x14ac:dyDescent="0.25">
      <c r="BP74" s="49" t="s">
        <v>239</v>
      </c>
    </row>
    <row r="75" spans="20:88" x14ac:dyDescent="0.25">
      <c r="BO75" s="303" t="s">
        <v>121</v>
      </c>
      <c r="BP75" s="299" t="s">
        <v>141</v>
      </c>
    </row>
    <row r="76" spans="20:88" x14ac:dyDescent="0.25">
      <c r="BO76" s="300">
        <v>10</v>
      </c>
      <c r="BP76" s="301">
        <v>13118.194444444445</v>
      </c>
    </row>
    <row r="77" spans="20:88" x14ac:dyDescent="0.25">
      <c r="BO77" s="300">
        <v>30</v>
      </c>
      <c r="BP77" s="301">
        <v>4581.5277777777774</v>
      </c>
    </row>
    <row r="78" spans="20:88" x14ac:dyDescent="0.25">
      <c r="BO78" s="300">
        <v>50</v>
      </c>
      <c r="BP78" s="301">
        <v>2874.1944444444443</v>
      </c>
    </row>
    <row r="79" spans="20:88" x14ac:dyDescent="0.25">
      <c r="BO79" s="300">
        <v>70</v>
      </c>
      <c r="BP79" s="301">
        <v>2142.480158730159</v>
      </c>
    </row>
    <row r="80" spans="20:88" x14ac:dyDescent="0.25">
      <c r="BO80" s="300">
        <v>100</v>
      </c>
      <c r="BP80" s="301">
        <v>1593.6944444444443</v>
      </c>
    </row>
    <row r="81" spans="62:88" x14ac:dyDescent="0.25">
      <c r="BO81" s="300">
        <v>200</v>
      </c>
      <c r="BP81" s="301">
        <v>953.44444444444446</v>
      </c>
      <c r="BR81" s="8"/>
      <c r="BS81"/>
      <c r="BT81" s="8"/>
      <c r="BU81"/>
      <c r="BV81" s="8"/>
      <c r="BW81"/>
      <c r="BX81" s="8"/>
      <c r="BY81"/>
      <c r="BZ81" s="8"/>
      <c r="CA81"/>
      <c r="CB81" s="8"/>
      <c r="CC81"/>
      <c r="CD81" s="8"/>
      <c r="CE81"/>
      <c r="CF81" s="8"/>
      <c r="CG81"/>
      <c r="CI81" s="37"/>
      <c r="CJ81"/>
    </row>
    <row r="82" spans="62:88" x14ac:dyDescent="0.25">
      <c r="BO82" s="300">
        <v>1000</v>
      </c>
      <c r="BP82" s="302">
        <v>441.24444444444453</v>
      </c>
      <c r="BR82" s="8"/>
      <c r="BS82"/>
      <c r="BT82" s="8"/>
      <c r="BU82"/>
      <c r="BV82" s="8"/>
      <c r="BW82"/>
      <c r="BX82" s="8"/>
      <c r="BY82"/>
      <c r="BZ82" s="8"/>
      <c r="CA82"/>
      <c r="CB82" s="8"/>
      <c r="CC82"/>
      <c r="CD82" s="8"/>
      <c r="CE82"/>
      <c r="CF82" s="8"/>
      <c r="CG82"/>
      <c r="CI82" s="37"/>
      <c r="CJ82"/>
    </row>
    <row r="83" spans="62:88" x14ac:dyDescent="0.25">
      <c r="BT83" s="8"/>
      <c r="BU83"/>
      <c r="BV83" s="8"/>
      <c r="BW83"/>
      <c r="BX83" s="8"/>
      <c r="BY83"/>
      <c r="BZ83" s="8"/>
      <c r="CA83"/>
      <c r="CB83" s="8"/>
      <c r="CC83"/>
      <c r="CD83" s="8"/>
      <c r="CE83"/>
      <c r="CF83" s="8"/>
      <c r="CG83"/>
      <c r="CI83" s="37"/>
      <c r="CJ83"/>
    </row>
    <row r="84" spans="62:88" x14ac:dyDescent="0.25">
      <c r="BT84" s="8"/>
      <c r="BU84"/>
      <c r="BV84" s="8"/>
      <c r="BW84"/>
      <c r="BX84" s="8"/>
      <c r="BY84"/>
      <c r="BZ84" s="8"/>
      <c r="CA84"/>
      <c r="CB84" s="8"/>
      <c r="CC84"/>
      <c r="CD84" s="8"/>
      <c r="CE84"/>
      <c r="CF84" s="8"/>
      <c r="CG84"/>
      <c r="CI84" s="37"/>
      <c r="CJ84"/>
    </row>
    <row r="85" spans="62:88" ht="15.75" x14ac:dyDescent="0.25">
      <c r="BJ85" s="284" t="s">
        <v>134</v>
      </c>
      <c r="BK85" s="40"/>
      <c r="BL85"/>
      <c r="BN85" s="48">
        <v>2200</v>
      </c>
      <c r="BO85" s="40" t="s">
        <v>133</v>
      </c>
      <c r="BT85" s="8"/>
      <c r="BU85"/>
      <c r="BV85" s="8"/>
      <c r="BW85"/>
      <c r="BX85" s="8"/>
      <c r="BY85"/>
      <c r="BZ85" s="8"/>
      <c r="CA85"/>
      <c r="CB85" s="8"/>
      <c r="CC85"/>
      <c r="CD85" s="8"/>
      <c r="CE85"/>
      <c r="CF85" s="8"/>
      <c r="CG85"/>
      <c r="CI85" s="37"/>
      <c r="CJ85"/>
    </row>
    <row r="86" spans="62:88" ht="15.75" x14ac:dyDescent="0.25">
      <c r="BJ86" s="284" t="s">
        <v>135</v>
      </c>
      <c r="BK86" s="40"/>
      <c r="BL86"/>
      <c r="BN86" s="48">
        <v>1850</v>
      </c>
      <c r="BO86" s="40" t="s">
        <v>133</v>
      </c>
      <c r="BT86" s="8"/>
      <c r="BU86"/>
      <c r="BV86" s="8"/>
      <c r="BW86"/>
      <c r="BX86" s="8"/>
      <c r="BY86"/>
      <c r="BZ86" s="8"/>
      <c r="CA86"/>
      <c r="CB86" s="8"/>
      <c r="CC86"/>
      <c r="CD86" s="8"/>
      <c r="CE86"/>
      <c r="CF86" s="8"/>
      <c r="CG86"/>
      <c r="CI86" s="37"/>
      <c r="CJ86"/>
    </row>
    <row r="87" spans="62:88" x14ac:dyDescent="0.25">
      <c r="BJ87" s="40"/>
      <c r="BK87" s="40"/>
      <c r="BL87"/>
      <c r="BT87" s="8"/>
      <c r="BU87"/>
      <c r="BV87" s="8"/>
      <c r="BW87"/>
      <c r="BX87" s="8"/>
      <c r="BY87"/>
      <c r="BZ87" s="8"/>
      <c r="CA87"/>
      <c r="CB87" s="8"/>
      <c r="CC87"/>
      <c r="CD87" s="8"/>
      <c r="CE87"/>
      <c r="CF87" s="8"/>
      <c r="CG87"/>
      <c r="CI87" s="37"/>
      <c r="CJ87"/>
    </row>
    <row r="88" spans="62:88" ht="15.75" x14ac:dyDescent="0.25">
      <c r="BJ88" s="40"/>
      <c r="BK88" s="40"/>
      <c r="BL88"/>
      <c r="BN88" s="48">
        <f>+BN79+BN81+BN85</f>
        <v>2200</v>
      </c>
      <c r="BO88" s="40" t="s">
        <v>136</v>
      </c>
      <c r="BT88" s="8"/>
      <c r="BU88"/>
      <c r="BV88" s="8"/>
      <c r="BW88"/>
      <c r="BX88" s="8"/>
      <c r="BY88"/>
      <c r="BZ88" s="8"/>
      <c r="CA88"/>
      <c r="CB88" s="8"/>
      <c r="CC88"/>
      <c r="CD88" s="8"/>
      <c r="CE88"/>
      <c r="CF88" s="8"/>
      <c r="CG88"/>
      <c r="CI88" s="37"/>
      <c r="CJ88"/>
    </row>
    <row r="89" spans="62:88" x14ac:dyDescent="0.25">
      <c r="BT89" s="8"/>
      <c r="BU89"/>
      <c r="BV89" s="8"/>
      <c r="BW89"/>
      <c r="BX89" s="8"/>
      <c r="BY89"/>
      <c r="BZ89" s="8"/>
      <c r="CA89"/>
      <c r="CB89" s="8"/>
      <c r="CC89"/>
      <c r="CD89" s="8"/>
      <c r="CE89"/>
      <c r="CF89" s="8"/>
      <c r="CG89"/>
      <c r="CI89" s="37"/>
      <c r="CJ89"/>
    </row>
    <row r="90" spans="62:88" x14ac:dyDescent="0.25">
      <c r="BT90" s="8"/>
      <c r="BU90"/>
      <c r="BV90" s="8"/>
      <c r="BW90"/>
      <c r="BX90" s="8"/>
      <c r="BY90"/>
      <c r="BZ90" s="8"/>
      <c r="CA90"/>
      <c r="CB90" s="8"/>
      <c r="CC90"/>
      <c r="CD90" s="8"/>
      <c r="CE90"/>
      <c r="CF90" s="8"/>
      <c r="CG90"/>
      <c r="CI90" s="37"/>
      <c r="CJ90"/>
    </row>
    <row r="91" spans="62:88" x14ac:dyDescent="0.25">
      <c r="BT91" s="8"/>
      <c r="BU91"/>
      <c r="BV91" s="8"/>
      <c r="BW91"/>
      <c r="BX91" s="8"/>
      <c r="BY91"/>
      <c r="BZ91" s="8"/>
      <c r="CA91"/>
      <c r="CB91" s="8"/>
      <c r="CC91"/>
      <c r="CD91" s="8"/>
      <c r="CE91"/>
      <c r="CF91" s="8"/>
      <c r="CG91"/>
      <c r="CI91" s="37"/>
      <c r="CJ91"/>
    </row>
    <row r="92" spans="62:88" x14ac:dyDescent="0.25">
      <c r="BT92" s="8"/>
      <c r="BU92"/>
      <c r="BV92" s="8"/>
      <c r="BW92"/>
      <c r="BX92" s="8"/>
      <c r="BY92"/>
      <c r="BZ92" s="8"/>
      <c r="CA92"/>
      <c r="CB92" s="8"/>
      <c r="CC92"/>
      <c r="CD92" s="8"/>
      <c r="CE92"/>
      <c r="CF92" s="8"/>
      <c r="CG92"/>
      <c r="CI92" s="37"/>
      <c r="CJ92"/>
    </row>
    <row r="93" spans="62:88" x14ac:dyDescent="0.25">
      <c r="BT93" s="8"/>
      <c r="BU93"/>
      <c r="BV93" s="8"/>
      <c r="BW93"/>
      <c r="BX93" s="8"/>
      <c r="BY93"/>
      <c r="BZ93" s="8"/>
      <c r="CA93"/>
      <c r="CB93" s="8"/>
      <c r="CC93"/>
      <c r="CD93" s="8"/>
      <c r="CE93"/>
      <c r="CF93" s="8"/>
      <c r="CG93"/>
      <c r="CI93" s="37"/>
      <c r="CJ93"/>
    </row>
    <row r="94" spans="62:88" x14ac:dyDescent="0.25">
      <c r="BT94" s="8"/>
      <c r="BU94"/>
      <c r="BV94" s="8"/>
      <c r="BW94"/>
      <c r="BX94" s="8"/>
      <c r="BY94"/>
      <c r="BZ94" s="8"/>
      <c r="CA94"/>
      <c r="CB94" s="8"/>
      <c r="CC94"/>
      <c r="CD94" s="8"/>
      <c r="CE94"/>
      <c r="CF94" s="8"/>
      <c r="CG94"/>
      <c r="CI94" s="37"/>
      <c r="CJ94"/>
    </row>
    <row r="95" spans="62:88" x14ac:dyDescent="0.25">
      <c r="BT95" s="8"/>
      <c r="BU95"/>
      <c r="BV95" s="8"/>
      <c r="BW95"/>
      <c r="BX95" s="8"/>
      <c r="BY95"/>
      <c r="BZ95" s="8"/>
      <c r="CA95"/>
      <c r="CB95" s="8"/>
      <c r="CC95"/>
      <c r="CD95" s="8"/>
      <c r="CE95"/>
      <c r="CF95" s="8"/>
      <c r="CG95"/>
      <c r="CI95" s="37"/>
      <c r="CJ95"/>
    </row>
    <row r="96" spans="62:88" x14ac:dyDescent="0.25">
      <c r="BT96" s="8"/>
      <c r="BU96"/>
      <c r="BV96" s="8"/>
      <c r="BW96"/>
      <c r="BX96" s="8"/>
      <c r="BY96"/>
      <c r="BZ96" s="8"/>
      <c r="CA96"/>
      <c r="CB96" s="8"/>
      <c r="CC96"/>
      <c r="CD96" s="8"/>
      <c r="CE96"/>
      <c r="CF96" s="8"/>
      <c r="CG96"/>
      <c r="CI96" s="37"/>
      <c r="CJ96"/>
    </row>
    <row r="97" spans="71:88" x14ac:dyDescent="0.25">
      <c r="BT97" s="8"/>
      <c r="BU97"/>
      <c r="BV97" s="8"/>
      <c r="BW97"/>
      <c r="BX97" s="8"/>
      <c r="BY97"/>
      <c r="BZ97" s="8"/>
      <c r="CA97"/>
      <c r="CB97" s="8"/>
      <c r="CC97"/>
      <c r="CD97" s="8"/>
      <c r="CE97"/>
      <c r="CF97" s="8"/>
      <c r="CG97"/>
      <c r="CI97" s="37"/>
      <c r="CJ97"/>
    </row>
    <row r="98" spans="71:88" x14ac:dyDescent="0.25">
      <c r="BS98"/>
      <c r="BT98" s="8"/>
      <c r="BU98"/>
      <c r="BV98" s="8"/>
      <c r="BW98"/>
      <c r="BX98" s="8"/>
      <c r="BY98"/>
      <c r="BZ98" s="8"/>
      <c r="CA98"/>
      <c r="CB98" s="8"/>
      <c r="CC98"/>
      <c r="CD98" s="8"/>
      <c r="CE98"/>
      <c r="CF98" s="8"/>
      <c r="CG98"/>
      <c r="CI98" s="37"/>
      <c r="CJ98"/>
    </row>
  </sheetData>
  <mergeCells count="52">
    <mergeCell ref="B8:B10"/>
    <mergeCell ref="C8:C10"/>
    <mergeCell ref="BQ1:BR1"/>
    <mergeCell ref="BS1:BT1"/>
    <mergeCell ref="BU1:BV1"/>
    <mergeCell ref="AT1:AW1"/>
    <mergeCell ref="AX1:BA1"/>
    <mergeCell ref="BB1:BE1"/>
    <mergeCell ref="BK1:BL1"/>
    <mergeCell ref="BM1:BN1"/>
    <mergeCell ref="BO1:BP1"/>
    <mergeCell ref="V1:Y1"/>
    <mergeCell ref="Z1:AC1"/>
    <mergeCell ref="AD1:AG1"/>
    <mergeCell ref="AH1:AK1"/>
    <mergeCell ref="AL1:AO1"/>
    <mergeCell ref="CC1:CD1"/>
    <mergeCell ref="CE1:CF1"/>
    <mergeCell ref="CG1:CH1"/>
    <mergeCell ref="B6:B7"/>
    <mergeCell ref="C6:C7"/>
    <mergeCell ref="BW1:BX1"/>
    <mergeCell ref="BY1:BZ1"/>
    <mergeCell ref="CA1:CB1"/>
    <mergeCell ref="AP1:AS1"/>
    <mergeCell ref="B11:B12"/>
    <mergeCell ref="C11:C12"/>
    <mergeCell ref="B13:B14"/>
    <mergeCell ref="C13:C14"/>
    <mergeCell ref="B15:B16"/>
    <mergeCell ref="C15:C16"/>
    <mergeCell ref="B29:B30"/>
    <mergeCell ref="C29:C30"/>
    <mergeCell ref="B17:B18"/>
    <mergeCell ref="C17:C18"/>
    <mergeCell ref="B19:B20"/>
    <mergeCell ref="C19:C20"/>
    <mergeCell ref="B21:B22"/>
    <mergeCell ref="C21:C22"/>
    <mergeCell ref="B23:B24"/>
    <mergeCell ref="C23:C24"/>
    <mergeCell ref="B25:B28"/>
    <mergeCell ref="C25:C26"/>
    <mergeCell ref="C27:C28"/>
    <mergeCell ref="B37:B38"/>
    <mergeCell ref="C37:C38"/>
    <mergeCell ref="B31:B32"/>
    <mergeCell ref="C31:C32"/>
    <mergeCell ref="B33:B34"/>
    <mergeCell ref="C33:C34"/>
    <mergeCell ref="B35:B36"/>
    <mergeCell ref="C35:C36"/>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93956-3AF4-4288-9A5F-C8BA8B8BC3B0}">
  <dimension ref="C5:M24"/>
  <sheetViews>
    <sheetView workbookViewId="0">
      <selection activeCell="N11" sqref="N11"/>
    </sheetView>
  </sheetViews>
  <sheetFormatPr baseColWidth="10" defaultRowHeight="15" x14ac:dyDescent="0.25"/>
  <cols>
    <col min="3" max="3" width="7.5703125" bestFit="1" customWidth="1"/>
    <col min="4" max="4" width="6.28515625" bestFit="1" customWidth="1"/>
    <col min="5" max="5" width="10.140625" style="357" bestFit="1" customWidth="1"/>
    <col min="6" max="6" width="3" bestFit="1" customWidth="1"/>
    <col min="7" max="7" width="6" bestFit="1" customWidth="1"/>
    <col min="8" max="9" width="9.140625" bestFit="1" customWidth="1"/>
    <col min="10" max="10" width="3" bestFit="1" customWidth="1"/>
    <col min="11" max="11" width="7" bestFit="1" customWidth="1"/>
    <col min="12" max="12" width="7.5703125" bestFit="1" customWidth="1"/>
    <col min="13" max="13" width="6.28515625" style="44" bestFit="1" customWidth="1"/>
  </cols>
  <sheetData>
    <row r="5" spans="3:13" ht="15.75" x14ac:dyDescent="0.25">
      <c r="C5" s="315" t="s">
        <v>269</v>
      </c>
    </row>
    <row r="6" spans="3:13" ht="15.75" x14ac:dyDescent="0.25">
      <c r="C6" s="315"/>
    </row>
    <row r="7" spans="3:13" ht="30" x14ac:dyDescent="0.25">
      <c r="D7" s="21" t="s">
        <v>117</v>
      </c>
      <c r="G7" s="21" t="s">
        <v>157</v>
      </c>
      <c r="H7" s="359" t="s">
        <v>267</v>
      </c>
      <c r="I7" s="359" t="s">
        <v>268</v>
      </c>
      <c r="M7" s="46" t="s">
        <v>117</v>
      </c>
    </row>
    <row r="8" spans="3:13" x14ac:dyDescent="0.25">
      <c r="C8" t="s">
        <v>87</v>
      </c>
      <c r="D8">
        <v>0</v>
      </c>
      <c r="E8" s="357">
        <v>0</v>
      </c>
      <c r="G8">
        <f>+D8/8</f>
        <v>0</v>
      </c>
      <c r="H8">
        <f>+G8/5</f>
        <v>0</v>
      </c>
      <c r="I8">
        <f>+H8*2</f>
        <v>0</v>
      </c>
      <c r="L8" t="s">
        <v>87</v>
      </c>
      <c r="M8" s="43">
        <v>3</v>
      </c>
    </row>
    <row r="9" spans="3:13" x14ac:dyDescent="0.25">
      <c r="C9" t="s">
        <v>88</v>
      </c>
      <c r="D9">
        <v>30</v>
      </c>
      <c r="E9" s="357">
        <v>7500</v>
      </c>
      <c r="G9">
        <f t="shared" ref="G9:G22" si="0">+D9/8</f>
        <v>3.75</v>
      </c>
      <c r="H9">
        <f t="shared" ref="H9:H22" si="1">+G9/5</f>
        <v>0.75</v>
      </c>
      <c r="I9">
        <f t="shared" ref="I9:I22" si="2">+H9*2</f>
        <v>1.5</v>
      </c>
      <c r="L9" t="s">
        <v>88</v>
      </c>
      <c r="M9" s="43">
        <v>7</v>
      </c>
    </row>
    <row r="10" spans="3:13" x14ac:dyDescent="0.25">
      <c r="C10" t="s">
        <v>89</v>
      </c>
      <c r="D10">
        <v>48</v>
      </c>
      <c r="E10" s="357">
        <v>12000</v>
      </c>
      <c r="G10">
        <f t="shared" si="0"/>
        <v>6</v>
      </c>
      <c r="H10">
        <f t="shared" si="1"/>
        <v>1.2</v>
      </c>
      <c r="I10">
        <f t="shared" si="2"/>
        <v>2.4</v>
      </c>
      <c r="L10" t="s">
        <v>89</v>
      </c>
      <c r="M10" s="43">
        <v>6</v>
      </c>
    </row>
    <row r="11" spans="3:13" x14ac:dyDescent="0.25">
      <c r="C11" t="s">
        <v>90</v>
      </c>
      <c r="D11">
        <v>48</v>
      </c>
      <c r="E11" s="357">
        <v>12000</v>
      </c>
      <c r="G11">
        <f t="shared" si="0"/>
        <v>6</v>
      </c>
      <c r="H11">
        <f t="shared" si="1"/>
        <v>1.2</v>
      </c>
      <c r="I11">
        <f t="shared" si="2"/>
        <v>2.4</v>
      </c>
      <c r="L11" t="s">
        <v>90</v>
      </c>
      <c r="M11" s="43">
        <v>9</v>
      </c>
    </row>
    <row r="12" spans="3:13" x14ac:dyDescent="0.25">
      <c r="C12" t="s">
        <v>91</v>
      </c>
      <c r="D12">
        <v>48</v>
      </c>
      <c r="E12" s="357">
        <v>12000</v>
      </c>
      <c r="G12">
        <f t="shared" si="0"/>
        <v>6</v>
      </c>
      <c r="H12">
        <f t="shared" si="1"/>
        <v>1.2</v>
      </c>
      <c r="I12">
        <f t="shared" si="2"/>
        <v>2.4</v>
      </c>
      <c r="L12" t="s">
        <v>91</v>
      </c>
      <c r="M12" s="43">
        <v>10</v>
      </c>
    </row>
    <row r="13" spans="3:13" x14ac:dyDescent="0.25">
      <c r="C13" t="s">
        <v>92</v>
      </c>
      <c r="D13">
        <v>48</v>
      </c>
      <c r="E13" s="357">
        <v>12000</v>
      </c>
      <c r="G13">
        <f t="shared" si="0"/>
        <v>6</v>
      </c>
      <c r="H13">
        <f t="shared" si="1"/>
        <v>1.2</v>
      </c>
      <c r="I13">
        <f t="shared" si="2"/>
        <v>2.4</v>
      </c>
      <c r="L13" t="s">
        <v>92</v>
      </c>
      <c r="M13" s="43">
        <v>12</v>
      </c>
    </row>
    <row r="14" spans="3:13" x14ac:dyDescent="0.25">
      <c r="C14" t="s">
        <v>93</v>
      </c>
      <c r="D14">
        <v>48</v>
      </c>
      <c r="E14" s="357">
        <v>12000</v>
      </c>
      <c r="G14">
        <f t="shared" si="0"/>
        <v>6</v>
      </c>
      <c r="H14">
        <f t="shared" si="1"/>
        <v>1.2</v>
      </c>
      <c r="I14">
        <f t="shared" si="2"/>
        <v>2.4</v>
      </c>
      <c r="L14" t="s">
        <v>93</v>
      </c>
      <c r="M14" s="43">
        <v>15</v>
      </c>
    </row>
    <row r="15" spans="3:13" x14ac:dyDescent="0.25">
      <c r="C15" t="s">
        <v>94</v>
      </c>
      <c r="D15">
        <v>60</v>
      </c>
      <c r="E15" s="357">
        <v>15000</v>
      </c>
      <c r="G15">
        <f t="shared" si="0"/>
        <v>7.5</v>
      </c>
      <c r="H15">
        <f t="shared" si="1"/>
        <v>1.5</v>
      </c>
      <c r="I15">
        <f t="shared" si="2"/>
        <v>3</v>
      </c>
      <c r="L15" t="s">
        <v>94</v>
      </c>
      <c r="M15" s="43">
        <v>10</v>
      </c>
    </row>
    <row r="16" spans="3:13" x14ac:dyDescent="0.25">
      <c r="C16" t="s">
        <v>95</v>
      </c>
      <c r="D16">
        <v>64</v>
      </c>
      <c r="E16" s="357">
        <v>16000</v>
      </c>
      <c r="G16">
        <f t="shared" si="0"/>
        <v>8</v>
      </c>
      <c r="H16">
        <f t="shared" si="1"/>
        <v>1.6</v>
      </c>
      <c r="I16">
        <f t="shared" si="2"/>
        <v>3.2</v>
      </c>
      <c r="L16" t="s">
        <v>95</v>
      </c>
      <c r="M16" s="43">
        <v>10</v>
      </c>
    </row>
    <row r="17" spans="3:13" x14ac:dyDescent="0.25">
      <c r="C17" t="s">
        <v>127</v>
      </c>
      <c r="D17">
        <v>16</v>
      </c>
      <c r="E17" s="357">
        <v>4000</v>
      </c>
      <c r="G17">
        <f t="shared" si="0"/>
        <v>2</v>
      </c>
      <c r="H17">
        <f t="shared" si="1"/>
        <v>0.4</v>
      </c>
      <c r="I17">
        <f t="shared" si="2"/>
        <v>0.8</v>
      </c>
      <c r="L17" t="s">
        <v>127</v>
      </c>
      <c r="M17" s="43">
        <v>9</v>
      </c>
    </row>
    <row r="18" spans="3:13" x14ac:dyDescent="0.25">
      <c r="C18" t="s">
        <v>262</v>
      </c>
      <c r="D18">
        <v>88</v>
      </c>
      <c r="E18" s="357">
        <v>22000</v>
      </c>
      <c r="G18">
        <f t="shared" si="0"/>
        <v>11</v>
      </c>
      <c r="H18">
        <f t="shared" si="1"/>
        <v>2.2000000000000002</v>
      </c>
      <c r="I18">
        <f t="shared" si="2"/>
        <v>4.4000000000000004</v>
      </c>
      <c r="L18" t="s">
        <v>262</v>
      </c>
      <c r="M18" s="43">
        <v>16</v>
      </c>
    </row>
    <row r="19" spans="3:13" x14ac:dyDescent="0.25">
      <c r="C19" t="s">
        <v>263</v>
      </c>
      <c r="D19">
        <v>88</v>
      </c>
      <c r="E19" s="357">
        <v>22000</v>
      </c>
      <c r="G19">
        <f t="shared" si="0"/>
        <v>11</v>
      </c>
      <c r="H19">
        <f t="shared" si="1"/>
        <v>2.2000000000000002</v>
      </c>
      <c r="I19">
        <f t="shared" si="2"/>
        <v>4.4000000000000004</v>
      </c>
      <c r="L19" t="s">
        <v>263</v>
      </c>
      <c r="M19" s="43">
        <v>16</v>
      </c>
    </row>
    <row r="20" spans="3:13" x14ac:dyDescent="0.25">
      <c r="C20" t="s">
        <v>264</v>
      </c>
      <c r="D20">
        <v>88</v>
      </c>
      <c r="E20" s="357">
        <v>22000</v>
      </c>
      <c r="G20">
        <f t="shared" si="0"/>
        <v>11</v>
      </c>
      <c r="H20">
        <f t="shared" si="1"/>
        <v>2.2000000000000002</v>
      </c>
      <c r="I20">
        <f t="shared" si="2"/>
        <v>4.4000000000000004</v>
      </c>
      <c r="L20" t="s">
        <v>264</v>
      </c>
      <c r="M20" s="43">
        <v>16</v>
      </c>
    </row>
    <row r="21" spans="3:13" x14ac:dyDescent="0.25">
      <c r="C21" t="s">
        <v>265</v>
      </c>
      <c r="D21">
        <v>88</v>
      </c>
      <c r="E21" s="357">
        <v>22000</v>
      </c>
      <c r="G21">
        <f t="shared" si="0"/>
        <v>11</v>
      </c>
      <c r="H21">
        <f t="shared" si="1"/>
        <v>2.2000000000000002</v>
      </c>
      <c r="I21">
        <f t="shared" si="2"/>
        <v>4.4000000000000004</v>
      </c>
      <c r="L21" t="s">
        <v>265</v>
      </c>
      <c r="M21" s="43">
        <v>16</v>
      </c>
    </row>
    <row r="22" spans="3:13" x14ac:dyDescent="0.25">
      <c r="C22" t="s">
        <v>266</v>
      </c>
      <c r="D22">
        <v>66</v>
      </c>
      <c r="E22" s="357">
        <v>16500</v>
      </c>
      <c r="G22">
        <f t="shared" si="0"/>
        <v>8.25</v>
      </c>
      <c r="H22">
        <f t="shared" si="1"/>
        <v>1.65</v>
      </c>
      <c r="I22">
        <f t="shared" si="2"/>
        <v>3.3</v>
      </c>
      <c r="L22" t="s">
        <v>266</v>
      </c>
      <c r="M22" s="43">
        <v>12</v>
      </c>
    </row>
    <row r="23" spans="3:13" ht="15.75" x14ac:dyDescent="0.25">
      <c r="D23" s="315">
        <f>SUM(D8:D22)</f>
        <v>828</v>
      </c>
      <c r="E23" s="357">
        <f>SUM(E8:E22)</f>
        <v>207000</v>
      </c>
      <c r="M23" s="360">
        <f>SUM(M8:M22)</f>
        <v>167</v>
      </c>
    </row>
    <row r="24" spans="3:13" x14ac:dyDescent="0.25">
      <c r="E24" s="358">
        <f>+E23/13</f>
        <v>15923.076923076924</v>
      </c>
    </row>
  </sheetData>
  <phoneticPr fontId="26"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CA2D9-C676-48BD-B587-A52893C03490}">
  <dimension ref="B2:Q51"/>
  <sheetViews>
    <sheetView topLeftCell="A13" zoomScaleNormal="100" workbookViewId="0">
      <selection activeCell="O23" sqref="O23"/>
    </sheetView>
  </sheetViews>
  <sheetFormatPr baseColWidth="10" defaultRowHeight="15" x14ac:dyDescent="0.25"/>
  <cols>
    <col min="2" max="2" width="2.42578125" customWidth="1"/>
    <col min="3" max="3" width="8.85546875" bestFit="1" customWidth="1"/>
    <col min="4" max="4" width="14.85546875" style="8" bestFit="1" customWidth="1"/>
    <col min="5" max="5" width="13.42578125" style="8" customWidth="1"/>
    <col min="6" max="6" width="12" style="8" customWidth="1"/>
    <col min="7" max="7" width="12.140625" style="8" bestFit="1" customWidth="1"/>
    <col min="8" max="8" width="12.85546875" style="37" customWidth="1"/>
    <col min="9" max="9" width="11.7109375" customWidth="1"/>
    <col min="10" max="10" width="11.7109375" bestFit="1" customWidth="1"/>
    <col min="11" max="11" width="13" customWidth="1"/>
    <col min="12" max="12" width="13.5703125" customWidth="1"/>
    <col min="13" max="13" width="2.42578125" customWidth="1"/>
    <col min="14" max="15" width="12.5703125" bestFit="1" customWidth="1"/>
    <col min="16" max="16" width="2.28515625" customWidth="1"/>
    <col min="17" max="17" width="13.28515625" bestFit="1" customWidth="1"/>
    <col min="18" max="18" width="15" bestFit="1" customWidth="1"/>
  </cols>
  <sheetData>
    <row r="2" spans="2:13" x14ac:dyDescent="0.25">
      <c r="H2"/>
      <c r="I2" s="305" t="s">
        <v>240</v>
      </c>
      <c r="J2" s="304">
        <v>40000</v>
      </c>
      <c r="K2" s="305" t="s">
        <v>241</v>
      </c>
      <c r="L2" s="304">
        <f>+J2/18</f>
        <v>2222.2222222222222</v>
      </c>
    </row>
    <row r="3" spans="2:13" x14ac:dyDescent="0.25">
      <c r="H3"/>
      <c r="J3" s="8"/>
      <c r="K3" s="305" t="s">
        <v>237</v>
      </c>
      <c r="L3" s="304">
        <v>200</v>
      </c>
    </row>
    <row r="4" spans="2:13" x14ac:dyDescent="0.25">
      <c r="H4"/>
      <c r="J4" s="8"/>
      <c r="K4" s="305" t="s">
        <v>238</v>
      </c>
      <c r="L4" s="304">
        <v>812.22222222222217</v>
      </c>
    </row>
    <row r="5" spans="2:13" x14ac:dyDescent="0.25">
      <c r="H5"/>
      <c r="J5" s="8"/>
      <c r="K5" s="305" t="s">
        <v>132</v>
      </c>
      <c r="L5" s="304">
        <v>1578.8888888888889</v>
      </c>
    </row>
    <row r="6" spans="2:13" ht="15.75" thickBot="1" x14ac:dyDescent="0.3">
      <c r="E6" s="305"/>
      <c r="F6" s="304"/>
    </row>
    <row r="7" spans="2:13" ht="9" customHeight="1" x14ac:dyDescent="0.25">
      <c r="B7" s="316"/>
      <c r="C7" s="319"/>
      <c r="D7" s="317"/>
      <c r="E7" s="317"/>
      <c r="F7" s="317"/>
      <c r="G7" s="317"/>
      <c r="H7" s="318"/>
      <c r="I7" s="319"/>
      <c r="J7" s="319"/>
      <c r="K7" s="319"/>
      <c r="L7" s="319"/>
      <c r="M7" s="320"/>
    </row>
    <row r="8" spans="2:13" ht="18.75" x14ac:dyDescent="0.3">
      <c r="B8" s="321"/>
      <c r="C8" s="331" t="s">
        <v>242</v>
      </c>
      <c r="E8" s="305"/>
      <c r="F8" s="304"/>
      <c r="H8" s="274"/>
      <c r="K8" s="54" t="s">
        <v>145</v>
      </c>
      <c r="L8" s="332">
        <v>0.5</v>
      </c>
      <c r="M8" s="322"/>
    </row>
    <row r="9" spans="2:13" ht="3.75" customHeight="1" x14ac:dyDescent="0.25">
      <c r="B9" s="321"/>
      <c r="H9" s="274"/>
      <c r="M9" s="322"/>
    </row>
    <row r="10" spans="2:13" s="8" customFormat="1" ht="30" x14ac:dyDescent="0.25">
      <c r="B10" s="323"/>
      <c r="C10" s="52" t="s">
        <v>121</v>
      </c>
      <c r="D10" s="53" t="s">
        <v>140</v>
      </c>
      <c r="E10" s="306" t="s">
        <v>141</v>
      </c>
      <c r="F10" s="54" t="s">
        <v>142</v>
      </c>
      <c r="G10" s="54" t="s">
        <v>143</v>
      </c>
      <c r="H10" s="54" t="s">
        <v>139</v>
      </c>
      <c r="I10" s="306" t="s">
        <v>144</v>
      </c>
      <c r="K10" s="307" t="s">
        <v>146</v>
      </c>
      <c r="L10" s="307" t="s">
        <v>147</v>
      </c>
      <c r="M10" s="324"/>
    </row>
    <row r="11" spans="2:13" x14ac:dyDescent="0.25">
      <c r="B11" s="321"/>
      <c r="C11" s="378">
        <v>10</v>
      </c>
      <c r="D11" s="51">
        <v>4</v>
      </c>
      <c r="E11" s="56">
        <v>13118.194444444445</v>
      </c>
      <c r="F11" s="56">
        <v>200</v>
      </c>
      <c r="G11" s="56">
        <v>2222.2199999999998</v>
      </c>
      <c r="H11" s="55">
        <f>+E11+F11+G11</f>
        <v>15540.414444444445</v>
      </c>
      <c r="I11" s="57">
        <f>+E11/H11</f>
        <v>0.84413414399859066</v>
      </c>
      <c r="J11" s="40"/>
      <c r="K11" s="308">
        <f>+H11*1.5</f>
        <v>23310.621666666666</v>
      </c>
      <c r="L11" s="272">
        <f t="shared" ref="L11:L25" si="0">+K11-H11</f>
        <v>7770.2072222222214</v>
      </c>
      <c r="M11" s="322"/>
    </row>
    <row r="12" spans="2:13" x14ac:dyDescent="0.25">
      <c r="B12" s="321"/>
      <c r="C12" s="378"/>
      <c r="D12" s="51">
        <v>14</v>
      </c>
      <c r="E12" s="56">
        <v>13118.194444444445</v>
      </c>
      <c r="F12" s="56">
        <v>812.22</v>
      </c>
      <c r="G12" s="56">
        <v>2222.2199999999998</v>
      </c>
      <c r="H12" s="55">
        <f t="shared" ref="H12:H25" si="1">+E12+F12+G12</f>
        <v>16152.634444444444</v>
      </c>
      <c r="I12" s="57">
        <f t="shared" ref="I12:I25" si="2">+E12/H12</f>
        <v>0.8121396227694816</v>
      </c>
      <c r="J12" s="325">
        <f>+I12</f>
        <v>0.8121396227694816</v>
      </c>
      <c r="K12" s="308">
        <f t="shared" ref="K12:K25" si="3">+H12*1.5</f>
        <v>24228.951666666668</v>
      </c>
      <c r="L12" s="272">
        <f t="shared" si="0"/>
        <v>8076.3172222222238</v>
      </c>
      <c r="M12" s="322"/>
    </row>
    <row r="13" spans="2:13" x14ac:dyDescent="0.25">
      <c r="B13" s="321"/>
      <c r="C13" s="378"/>
      <c r="D13" s="51">
        <v>17</v>
      </c>
      <c r="E13" s="56">
        <v>13118.194444444445</v>
      </c>
      <c r="F13" s="56">
        <v>1578.89</v>
      </c>
      <c r="G13" s="56">
        <v>2222.2199999999998</v>
      </c>
      <c r="H13" s="55">
        <f t="shared" si="1"/>
        <v>16919.304444444446</v>
      </c>
      <c r="I13" s="57">
        <f t="shared" si="2"/>
        <v>0.77533887326862794</v>
      </c>
      <c r="J13" s="40"/>
      <c r="K13" s="308">
        <f t="shared" si="3"/>
        <v>25378.956666666669</v>
      </c>
      <c r="L13" s="272">
        <f t="shared" si="0"/>
        <v>8459.6522222222229</v>
      </c>
      <c r="M13" s="322"/>
    </row>
    <row r="14" spans="2:13" x14ac:dyDescent="0.25">
      <c r="B14" s="321"/>
      <c r="C14" s="378">
        <v>30</v>
      </c>
      <c r="D14" s="51">
        <v>4</v>
      </c>
      <c r="E14" s="56">
        <v>4581.5277777777774</v>
      </c>
      <c r="F14" s="56">
        <v>200</v>
      </c>
      <c r="G14" s="56">
        <v>2222.2199999999998</v>
      </c>
      <c r="H14" s="55">
        <f t="shared" si="1"/>
        <v>7003.7477777777767</v>
      </c>
      <c r="I14" s="57">
        <f t="shared" si="2"/>
        <v>0.6541537364201675</v>
      </c>
      <c r="J14" s="40"/>
      <c r="K14" s="309">
        <f t="shared" si="3"/>
        <v>10505.621666666666</v>
      </c>
      <c r="L14" s="272">
        <f t="shared" si="0"/>
        <v>3501.8738888888893</v>
      </c>
      <c r="M14" s="322"/>
    </row>
    <row r="15" spans="2:13" x14ac:dyDescent="0.25">
      <c r="B15" s="321"/>
      <c r="C15" s="378"/>
      <c r="D15" s="51">
        <v>14</v>
      </c>
      <c r="E15" s="56">
        <v>4581.5277777777774</v>
      </c>
      <c r="F15" s="56">
        <v>812.22</v>
      </c>
      <c r="G15" s="56">
        <v>2222.2199999999998</v>
      </c>
      <c r="H15" s="55">
        <f t="shared" si="1"/>
        <v>7615.9677777777779</v>
      </c>
      <c r="I15" s="57">
        <f t="shared" si="2"/>
        <v>0.60156869244457289</v>
      </c>
      <c r="J15" s="325">
        <f>+I15</f>
        <v>0.60156869244457289</v>
      </c>
      <c r="K15" s="309">
        <f t="shared" si="3"/>
        <v>11423.951666666668</v>
      </c>
      <c r="L15" s="272">
        <f t="shared" si="0"/>
        <v>3807.9838888888899</v>
      </c>
      <c r="M15" s="322"/>
    </row>
    <row r="16" spans="2:13" x14ac:dyDescent="0.25">
      <c r="B16" s="321"/>
      <c r="C16" s="378"/>
      <c r="D16" s="51">
        <v>17</v>
      </c>
      <c r="E16" s="56">
        <v>4581.5277777777774</v>
      </c>
      <c r="F16" s="56">
        <v>1578.89</v>
      </c>
      <c r="G16" s="56">
        <v>2222.2199999999998</v>
      </c>
      <c r="H16" s="55">
        <f t="shared" si="1"/>
        <v>8382.637777777778</v>
      </c>
      <c r="I16" s="57">
        <f t="shared" si="2"/>
        <v>0.54654965408660805</v>
      </c>
      <c r="J16" s="40"/>
      <c r="K16" s="309">
        <f t="shared" si="3"/>
        <v>12573.956666666667</v>
      </c>
      <c r="L16" s="272">
        <f t="shared" si="0"/>
        <v>4191.318888888889</v>
      </c>
      <c r="M16" s="322"/>
    </row>
    <row r="17" spans="2:16" x14ac:dyDescent="0.25">
      <c r="B17" s="321"/>
      <c r="C17" s="378">
        <v>50</v>
      </c>
      <c r="D17" s="51">
        <v>4</v>
      </c>
      <c r="E17" s="56">
        <v>2874.1944444444443</v>
      </c>
      <c r="F17" s="56">
        <v>200</v>
      </c>
      <c r="G17" s="56">
        <v>2222.2199999999998</v>
      </c>
      <c r="H17" s="55">
        <f t="shared" si="1"/>
        <v>5296.4144444444446</v>
      </c>
      <c r="I17" s="57">
        <f t="shared" si="2"/>
        <v>0.54266796426009789</v>
      </c>
      <c r="J17" s="40"/>
      <c r="K17" s="310">
        <f t="shared" si="3"/>
        <v>7944.6216666666669</v>
      </c>
      <c r="L17" s="272">
        <f t="shared" si="0"/>
        <v>2648.2072222222223</v>
      </c>
      <c r="M17" s="322"/>
    </row>
    <row r="18" spans="2:16" x14ac:dyDescent="0.25">
      <c r="B18" s="321"/>
      <c r="C18" s="378"/>
      <c r="D18" s="51">
        <v>14</v>
      </c>
      <c r="E18" s="56">
        <v>2874.1944444444443</v>
      </c>
      <c r="F18" s="56">
        <v>812.22</v>
      </c>
      <c r="G18" s="56">
        <v>2222.2199999999998</v>
      </c>
      <c r="H18" s="55">
        <f t="shared" si="1"/>
        <v>5908.6344444444439</v>
      </c>
      <c r="I18" s="57">
        <f t="shared" si="2"/>
        <v>0.48643971318057888</v>
      </c>
      <c r="J18" s="325">
        <f>+I18</f>
        <v>0.48643971318057888</v>
      </c>
      <c r="K18" s="286">
        <f t="shared" si="3"/>
        <v>8862.9516666666659</v>
      </c>
      <c r="L18" s="272">
        <f t="shared" si="0"/>
        <v>2954.317222222222</v>
      </c>
      <c r="M18" s="322"/>
    </row>
    <row r="19" spans="2:16" x14ac:dyDescent="0.25">
      <c r="B19" s="321"/>
      <c r="C19" s="378"/>
      <c r="D19" s="51">
        <v>17</v>
      </c>
      <c r="E19" s="56">
        <v>2874.1944444444443</v>
      </c>
      <c r="F19" s="56">
        <v>1578.89</v>
      </c>
      <c r="G19" s="56">
        <v>2222.2199999999998</v>
      </c>
      <c r="H19" s="55">
        <f t="shared" si="1"/>
        <v>6675.304444444444</v>
      </c>
      <c r="I19" s="57">
        <f t="shared" si="2"/>
        <v>0.43057128979885062</v>
      </c>
      <c r="J19" s="40"/>
      <c r="K19" s="310">
        <f t="shared" si="3"/>
        <v>10012.956666666665</v>
      </c>
      <c r="L19" s="272">
        <f t="shared" si="0"/>
        <v>3337.6522222222211</v>
      </c>
      <c r="M19" s="322"/>
    </row>
    <row r="20" spans="2:16" ht="15.75" thickBot="1" x14ac:dyDescent="0.3">
      <c r="B20" s="321"/>
      <c r="C20" s="378">
        <v>70</v>
      </c>
      <c r="D20" s="51">
        <v>4</v>
      </c>
      <c r="E20" s="56">
        <v>2142.480158730159</v>
      </c>
      <c r="F20" s="56">
        <v>200</v>
      </c>
      <c r="G20" s="56">
        <v>2222.2199999999998</v>
      </c>
      <c r="H20" s="55">
        <f t="shared" si="1"/>
        <v>4564.7001587301584</v>
      </c>
      <c r="I20" s="57">
        <f t="shared" si="2"/>
        <v>0.469358355254197</v>
      </c>
      <c r="J20" s="40"/>
      <c r="K20" s="312">
        <f t="shared" si="3"/>
        <v>6847.0502380952375</v>
      </c>
      <c r="L20" s="272">
        <f t="shared" si="0"/>
        <v>2282.3500793650792</v>
      </c>
      <c r="M20" s="322"/>
    </row>
    <row r="21" spans="2:16" ht="15.75" thickBot="1" x14ac:dyDescent="0.3">
      <c r="B21" s="321"/>
      <c r="C21" s="378"/>
      <c r="D21" s="51">
        <v>14</v>
      </c>
      <c r="E21" s="56">
        <v>2142.480158730159</v>
      </c>
      <c r="F21" s="56">
        <v>812.22</v>
      </c>
      <c r="G21" s="56">
        <v>2222.2199999999998</v>
      </c>
      <c r="H21" s="55">
        <f t="shared" si="1"/>
        <v>5176.9201587301595</v>
      </c>
      <c r="I21" s="57">
        <f t="shared" si="2"/>
        <v>0.41385226989007406</v>
      </c>
      <c r="J21" s="325">
        <f>+I21</f>
        <v>0.41385226989007406</v>
      </c>
      <c r="K21" s="287">
        <f t="shared" si="3"/>
        <v>7765.3802380952393</v>
      </c>
      <c r="L21" s="311">
        <f t="shared" si="0"/>
        <v>2588.4600793650798</v>
      </c>
      <c r="M21" s="322"/>
    </row>
    <row r="22" spans="2:16" x14ac:dyDescent="0.25">
      <c r="B22" s="321"/>
      <c r="C22" s="378"/>
      <c r="D22" s="51">
        <v>17</v>
      </c>
      <c r="E22" s="56">
        <v>2142.480158730159</v>
      </c>
      <c r="F22" s="56">
        <v>1578.89</v>
      </c>
      <c r="G22" s="56">
        <v>2222.2199999999998</v>
      </c>
      <c r="H22" s="55">
        <f t="shared" si="1"/>
        <v>5943.5901587301596</v>
      </c>
      <c r="I22" s="57">
        <f t="shared" si="2"/>
        <v>0.36046902655009061</v>
      </c>
      <c r="J22" s="40"/>
      <c r="K22" s="313">
        <f t="shared" si="3"/>
        <v>8915.3852380952394</v>
      </c>
      <c r="L22" s="272">
        <f t="shared" si="0"/>
        <v>2971.7950793650798</v>
      </c>
      <c r="M22" s="322"/>
    </row>
    <row r="23" spans="2:16" x14ac:dyDescent="0.25">
      <c r="B23" s="321"/>
      <c r="C23" s="378">
        <v>100</v>
      </c>
      <c r="D23" s="51">
        <v>4</v>
      </c>
      <c r="E23" s="56">
        <v>1593.6944444444443</v>
      </c>
      <c r="F23" s="56">
        <v>200</v>
      </c>
      <c r="G23" s="56">
        <v>2222.2199999999998</v>
      </c>
      <c r="H23" s="55">
        <f t="shared" si="1"/>
        <v>4015.9144444444441</v>
      </c>
      <c r="I23" s="57">
        <f t="shared" si="2"/>
        <v>0.39684472029754952</v>
      </c>
      <c r="J23" s="40"/>
      <c r="K23" s="310">
        <f t="shared" si="3"/>
        <v>6023.871666666666</v>
      </c>
      <c r="L23" s="272">
        <f t="shared" si="0"/>
        <v>2007.9572222222218</v>
      </c>
      <c r="M23" s="322"/>
    </row>
    <row r="24" spans="2:16" x14ac:dyDescent="0.25">
      <c r="B24" s="321"/>
      <c r="C24" s="378"/>
      <c r="D24" s="51">
        <v>14</v>
      </c>
      <c r="E24" s="56">
        <v>1593.6944444444443</v>
      </c>
      <c r="F24" s="56">
        <v>812.22</v>
      </c>
      <c r="G24" s="56">
        <v>2222.2199999999998</v>
      </c>
      <c r="H24" s="55">
        <f t="shared" si="1"/>
        <v>4628.1344444444439</v>
      </c>
      <c r="I24" s="57">
        <f t="shared" si="2"/>
        <v>0.34434921102119143</v>
      </c>
      <c r="J24" s="325">
        <f>+I24</f>
        <v>0.34434921102119143</v>
      </c>
      <c r="K24" s="286">
        <f t="shared" si="3"/>
        <v>6942.2016666666659</v>
      </c>
      <c r="L24" s="272">
        <f t="shared" si="0"/>
        <v>2314.067222222222</v>
      </c>
      <c r="M24" s="322"/>
    </row>
    <row r="25" spans="2:16" x14ac:dyDescent="0.25">
      <c r="B25" s="321"/>
      <c r="C25" s="378"/>
      <c r="D25" s="51">
        <v>17</v>
      </c>
      <c r="E25" s="56">
        <v>1593.6944444444443</v>
      </c>
      <c r="F25" s="56">
        <v>1578.89</v>
      </c>
      <c r="G25" s="56">
        <v>2222.2199999999998</v>
      </c>
      <c r="H25" s="55">
        <f t="shared" si="1"/>
        <v>5394.804444444444</v>
      </c>
      <c r="I25" s="57">
        <f t="shared" si="2"/>
        <v>0.29541282929831253</v>
      </c>
      <c r="K25" s="310">
        <f t="shared" si="3"/>
        <v>8092.206666666666</v>
      </c>
      <c r="L25" s="272">
        <f t="shared" si="0"/>
        <v>2697.402222222222</v>
      </c>
      <c r="M25" s="322"/>
    </row>
    <row r="26" spans="2:16" ht="9" customHeight="1" thickBot="1" x14ac:dyDescent="0.3">
      <c r="B26" s="326"/>
      <c r="C26" s="327"/>
      <c r="D26" s="328"/>
      <c r="E26" s="328"/>
      <c r="F26" s="328"/>
      <c r="G26" s="328"/>
      <c r="H26" s="329"/>
      <c r="I26" s="327"/>
      <c r="J26" s="327"/>
      <c r="K26" s="327"/>
      <c r="L26" s="327"/>
      <c r="M26" s="330"/>
    </row>
    <row r="27" spans="2:16" ht="9" customHeight="1" thickBot="1" x14ac:dyDescent="0.3">
      <c r="H27" s="274"/>
    </row>
    <row r="28" spans="2:16" ht="9" customHeight="1" x14ac:dyDescent="0.25">
      <c r="B28" s="316"/>
      <c r="C28" s="319"/>
      <c r="D28" s="317"/>
      <c r="E28" s="317"/>
      <c r="F28" s="317"/>
      <c r="G28" s="317"/>
      <c r="H28" s="318"/>
      <c r="I28" s="319"/>
      <c r="J28" s="319"/>
      <c r="K28" s="319"/>
      <c r="L28" s="319"/>
      <c r="M28" s="319"/>
      <c r="N28" s="319"/>
      <c r="O28" s="319"/>
      <c r="P28" s="320"/>
    </row>
    <row r="29" spans="2:16" ht="18.75" x14ac:dyDescent="0.3">
      <c r="B29" s="321"/>
      <c r="C29" s="331" t="s">
        <v>243</v>
      </c>
      <c r="H29" s="274"/>
      <c r="P29" s="322"/>
    </row>
    <row r="30" spans="2:16" x14ac:dyDescent="0.25">
      <c r="B30" s="321"/>
      <c r="H30" s="274"/>
      <c r="P30" s="322"/>
    </row>
    <row r="31" spans="2:16" x14ac:dyDescent="0.25">
      <c r="B31" s="321"/>
      <c r="D31" s="46" t="s">
        <v>148</v>
      </c>
      <c r="E31" s="333">
        <v>20000</v>
      </c>
      <c r="F31" s="304"/>
      <c r="H31" s="274"/>
      <c r="K31" s="314" t="s">
        <v>145</v>
      </c>
      <c r="L31" s="332">
        <v>0.5</v>
      </c>
      <c r="P31" s="322"/>
    </row>
    <row r="32" spans="2:16" ht="3.75" customHeight="1" x14ac:dyDescent="0.25">
      <c r="B32" s="321"/>
      <c r="H32" s="274"/>
      <c r="P32" s="322"/>
    </row>
    <row r="33" spans="2:17" s="8" customFormat="1" ht="30" x14ac:dyDescent="0.25">
      <c r="B33" s="323"/>
      <c r="C33" s="298" t="s">
        <v>121</v>
      </c>
      <c r="D33" s="298" t="s">
        <v>140</v>
      </c>
      <c r="E33" s="307" t="s">
        <v>141</v>
      </c>
      <c r="F33" s="338" t="s">
        <v>142</v>
      </c>
      <c r="G33" s="338" t="s">
        <v>143</v>
      </c>
      <c r="H33" s="338" t="s">
        <v>139</v>
      </c>
      <c r="I33" s="307" t="s">
        <v>144</v>
      </c>
      <c r="K33" s="307" t="s">
        <v>146</v>
      </c>
      <c r="L33" s="307" t="s">
        <v>147</v>
      </c>
      <c r="N33" s="307" t="s">
        <v>149</v>
      </c>
      <c r="O33" s="307" t="s">
        <v>150</v>
      </c>
      <c r="P33" s="324"/>
    </row>
    <row r="34" spans="2:17" x14ac:dyDescent="0.25">
      <c r="B34" s="321"/>
      <c r="C34" s="378">
        <v>10</v>
      </c>
      <c r="D34" s="51">
        <v>4</v>
      </c>
      <c r="E34" s="56">
        <v>13118.194444444445</v>
      </c>
      <c r="F34" s="56">
        <v>200</v>
      </c>
      <c r="G34" s="56">
        <f>+(40000-E31)/18</f>
        <v>1111.1111111111111</v>
      </c>
      <c r="H34" s="55">
        <f>+E34+F34+G34</f>
        <v>14429.305555555557</v>
      </c>
      <c r="I34" s="57">
        <f>+E34/H34</f>
        <v>0.90913553628321986</v>
      </c>
      <c r="J34" s="40"/>
      <c r="K34" s="308">
        <f>+H34*1.5</f>
        <v>21643.958333333336</v>
      </c>
      <c r="L34" s="272">
        <f t="shared" ref="L34:L48" si="4">+K34-H34</f>
        <v>7214.6527777777792</v>
      </c>
      <c r="N34" s="55">
        <f>+L34*C34</f>
        <v>72146.527777777796</v>
      </c>
      <c r="O34" s="55">
        <f>+N34/2</f>
        <v>36073.263888888898</v>
      </c>
      <c r="P34" s="322"/>
    </row>
    <row r="35" spans="2:17" x14ac:dyDescent="0.25">
      <c r="B35" s="321"/>
      <c r="C35" s="378"/>
      <c r="D35" s="51">
        <v>14</v>
      </c>
      <c r="E35" s="56">
        <v>13118.194444444445</v>
      </c>
      <c r="F35" s="56">
        <v>812.22</v>
      </c>
      <c r="G35" s="56">
        <f>+G34</f>
        <v>1111.1111111111111</v>
      </c>
      <c r="H35" s="55">
        <f t="shared" ref="H35:H48" si="5">+E35+F35+G35</f>
        <v>15041.525555555556</v>
      </c>
      <c r="I35" s="57">
        <f t="shared" ref="I35:I48" si="6">+E35/H35</f>
        <v>0.87213191215164132</v>
      </c>
      <c r="J35" s="325">
        <f>+I35</f>
        <v>0.87213191215164132</v>
      </c>
      <c r="K35" s="308">
        <f t="shared" ref="K35:K48" si="7">+H35*1.5</f>
        <v>22562.288333333334</v>
      </c>
      <c r="L35" s="272">
        <f t="shared" si="4"/>
        <v>7520.762777777778</v>
      </c>
      <c r="N35" s="55">
        <f>+L35*C34</f>
        <v>75207.627777777787</v>
      </c>
      <c r="O35" s="55">
        <f>+N35/2</f>
        <v>37603.813888888893</v>
      </c>
      <c r="P35" s="322"/>
    </row>
    <row r="36" spans="2:17" x14ac:dyDescent="0.25">
      <c r="B36" s="321"/>
      <c r="C36" s="378"/>
      <c r="D36" s="51">
        <v>17</v>
      </c>
      <c r="E36" s="56">
        <v>13118.194444444445</v>
      </c>
      <c r="F36" s="56">
        <v>1578.89</v>
      </c>
      <c r="G36" s="56">
        <f t="shared" ref="G36:G48" si="8">+G35</f>
        <v>1111.1111111111111</v>
      </c>
      <c r="H36" s="55">
        <f t="shared" si="5"/>
        <v>15808.195555555556</v>
      </c>
      <c r="I36" s="57">
        <f t="shared" si="6"/>
        <v>0.82983503071824349</v>
      </c>
      <c r="J36" s="40"/>
      <c r="K36" s="308">
        <f t="shared" si="7"/>
        <v>23712.293333333335</v>
      </c>
      <c r="L36" s="272">
        <f t="shared" si="4"/>
        <v>7904.0977777777789</v>
      </c>
      <c r="N36" s="55">
        <f>+L36*C34</f>
        <v>79040.977777777793</v>
      </c>
      <c r="O36" s="55">
        <f>+N36/2</f>
        <v>39520.488888888896</v>
      </c>
      <c r="P36" s="322"/>
    </row>
    <row r="37" spans="2:17" x14ac:dyDescent="0.25">
      <c r="B37" s="321"/>
      <c r="C37" s="378">
        <v>30</v>
      </c>
      <c r="D37" s="51">
        <v>4</v>
      </c>
      <c r="E37" s="56">
        <v>4581.5277777777774</v>
      </c>
      <c r="F37" s="56">
        <v>200</v>
      </c>
      <c r="G37" s="56">
        <f t="shared" si="8"/>
        <v>1111.1111111111111</v>
      </c>
      <c r="H37" s="55">
        <f t="shared" si="5"/>
        <v>5892.6388888888887</v>
      </c>
      <c r="I37" s="57">
        <f t="shared" si="6"/>
        <v>0.77750017677422389</v>
      </c>
      <c r="J37" s="40"/>
      <c r="K37" s="272">
        <f t="shared" si="7"/>
        <v>8838.9583333333321</v>
      </c>
      <c r="L37" s="272">
        <f t="shared" si="4"/>
        <v>2946.3194444444434</v>
      </c>
      <c r="N37" s="55">
        <f>+L37*C37</f>
        <v>88389.583333333299</v>
      </c>
      <c r="O37" s="55">
        <f t="shared" ref="O37:O48" si="9">+N37/2</f>
        <v>44194.79166666665</v>
      </c>
      <c r="P37" s="322"/>
    </row>
    <row r="38" spans="2:17" x14ac:dyDescent="0.25">
      <c r="B38" s="321"/>
      <c r="C38" s="378"/>
      <c r="D38" s="51">
        <v>14</v>
      </c>
      <c r="E38" s="56">
        <v>4581.5277777777774</v>
      </c>
      <c r="F38" s="56">
        <v>812.22</v>
      </c>
      <c r="G38" s="56">
        <f t="shared" si="8"/>
        <v>1111.1111111111111</v>
      </c>
      <c r="H38" s="55">
        <f t="shared" si="5"/>
        <v>6504.8588888888889</v>
      </c>
      <c r="I38" s="57">
        <f t="shared" si="6"/>
        <v>0.70432393016297379</v>
      </c>
      <c r="J38" s="325">
        <f>+I38</f>
        <v>0.70432393016297379</v>
      </c>
      <c r="K38" s="272">
        <f t="shared" si="7"/>
        <v>9757.2883333333339</v>
      </c>
      <c r="L38" s="272">
        <f t="shared" si="4"/>
        <v>3252.4294444444449</v>
      </c>
      <c r="N38" s="55">
        <f>+L38*C37</f>
        <v>97572.883333333346</v>
      </c>
      <c r="O38" s="55">
        <f t="shared" si="9"/>
        <v>48786.441666666673</v>
      </c>
      <c r="P38" s="322"/>
    </row>
    <row r="39" spans="2:17" x14ac:dyDescent="0.25">
      <c r="B39" s="321"/>
      <c r="C39" s="378"/>
      <c r="D39" s="51">
        <v>17</v>
      </c>
      <c r="E39" s="56">
        <v>4581.5277777777774</v>
      </c>
      <c r="F39" s="56">
        <v>1578.89</v>
      </c>
      <c r="G39" s="56">
        <f t="shared" si="8"/>
        <v>1111.1111111111111</v>
      </c>
      <c r="H39" s="55">
        <f t="shared" si="5"/>
        <v>7271.528888888889</v>
      </c>
      <c r="I39" s="57">
        <f t="shared" si="6"/>
        <v>0.63006388997209195</v>
      </c>
      <c r="J39" s="40"/>
      <c r="K39" s="309">
        <f t="shared" si="7"/>
        <v>10907.293333333333</v>
      </c>
      <c r="L39" s="272">
        <f t="shared" si="4"/>
        <v>3635.7644444444441</v>
      </c>
      <c r="N39" s="55">
        <f>+L39*C37</f>
        <v>109072.93333333332</v>
      </c>
      <c r="O39" s="55">
        <f t="shared" si="9"/>
        <v>54536.46666666666</v>
      </c>
      <c r="P39" s="322"/>
    </row>
    <row r="40" spans="2:17" x14ac:dyDescent="0.25">
      <c r="B40" s="321"/>
      <c r="C40" s="378">
        <v>50</v>
      </c>
      <c r="D40" s="51">
        <v>4</v>
      </c>
      <c r="E40" s="56">
        <v>2874.1944444444443</v>
      </c>
      <c r="F40" s="56">
        <v>200</v>
      </c>
      <c r="G40" s="56">
        <f t="shared" si="8"/>
        <v>1111.1111111111111</v>
      </c>
      <c r="H40" s="55">
        <f t="shared" si="5"/>
        <v>4185.3055555555557</v>
      </c>
      <c r="I40" s="57">
        <f t="shared" si="6"/>
        <v>0.68673467356027362</v>
      </c>
      <c r="J40" s="40"/>
      <c r="K40" s="310">
        <f t="shared" si="7"/>
        <v>6277.9583333333339</v>
      </c>
      <c r="L40" s="272">
        <f t="shared" si="4"/>
        <v>2092.6527777777783</v>
      </c>
      <c r="N40" s="55">
        <f>+L40*C40</f>
        <v>104632.63888888892</v>
      </c>
      <c r="O40" s="55">
        <f t="shared" si="9"/>
        <v>52316.31944444446</v>
      </c>
      <c r="P40" s="322"/>
    </row>
    <row r="41" spans="2:17" ht="15.75" x14ac:dyDescent="0.25">
      <c r="B41" s="321"/>
      <c r="C41" s="378"/>
      <c r="D41" s="51">
        <v>14</v>
      </c>
      <c r="E41" s="56">
        <v>2874.1944444444443</v>
      </c>
      <c r="F41" s="56">
        <v>812.22</v>
      </c>
      <c r="G41" s="56">
        <f t="shared" si="8"/>
        <v>1111.1111111111111</v>
      </c>
      <c r="H41" s="55">
        <f t="shared" si="5"/>
        <v>4797.5255555555559</v>
      </c>
      <c r="I41" s="57">
        <f t="shared" si="6"/>
        <v>0.59909935052166929</v>
      </c>
      <c r="J41" s="325">
        <f>+I41</f>
        <v>0.59909935052166929</v>
      </c>
      <c r="K41" s="286">
        <f t="shared" si="7"/>
        <v>7196.2883333333339</v>
      </c>
      <c r="L41" s="272">
        <f t="shared" si="4"/>
        <v>2398.762777777778</v>
      </c>
      <c r="N41" s="339">
        <f>+L41*C40</f>
        <v>119938.13888888891</v>
      </c>
      <c r="O41" s="339">
        <f t="shared" si="9"/>
        <v>59969.069444444453</v>
      </c>
      <c r="P41" s="322"/>
      <c r="Q41" s="315" t="s">
        <v>247</v>
      </c>
    </row>
    <row r="42" spans="2:17" x14ac:dyDescent="0.25">
      <c r="B42" s="321"/>
      <c r="C42" s="378"/>
      <c r="D42" s="51">
        <v>17</v>
      </c>
      <c r="E42" s="56">
        <v>2874.1944444444443</v>
      </c>
      <c r="F42" s="56">
        <v>1578.89</v>
      </c>
      <c r="G42" s="56">
        <f t="shared" si="8"/>
        <v>1111.1111111111111</v>
      </c>
      <c r="H42" s="55">
        <f t="shared" si="5"/>
        <v>5564.195555555556</v>
      </c>
      <c r="I42" s="57">
        <f t="shared" si="6"/>
        <v>0.51655165886014065</v>
      </c>
      <c r="J42" s="40"/>
      <c r="K42" s="310">
        <f t="shared" si="7"/>
        <v>8346.2933333333349</v>
      </c>
      <c r="L42" s="272">
        <f t="shared" si="4"/>
        <v>2782.0977777777789</v>
      </c>
      <c r="N42" s="55">
        <f>+L42*C40</f>
        <v>139104.88888888893</v>
      </c>
      <c r="O42" s="55">
        <f t="shared" si="9"/>
        <v>69552.444444444467</v>
      </c>
      <c r="P42" s="322"/>
    </row>
    <row r="43" spans="2:17" x14ac:dyDescent="0.25">
      <c r="B43" s="321"/>
      <c r="C43" s="378">
        <v>70</v>
      </c>
      <c r="D43" s="51">
        <v>4</v>
      </c>
      <c r="E43" s="56">
        <v>2142.480158730159</v>
      </c>
      <c r="F43" s="56">
        <v>200</v>
      </c>
      <c r="G43" s="56">
        <f t="shared" si="8"/>
        <v>1111.1111111111111</v>
      </c>
      <c r="H43" s="55">
        <f t="shared" si="5"/>
        <v>3453.5912698412703</v>
      </c>
      <c r="I43" s="57">
        <f t="shared" si="6"/>
        <v>0.62036297619799952</v>
      </c>
      <c r="J43" s="40"/>
      <c r="K43" s="310">
        <f t="shared" si="7"/>
        <v>5180.3869047619055</v>
      </c>
      <c r="L43" s="272">
        <f t="shared" si="4"/>
        <v>1726.7956349206352</v>
      </c>
      <c r="N43" s="55">
        <f>+L43*C43</f>
        <v>120875.69444444447</v>
      </c>
      <c r="O43" s="55">
        <f t="shared" si="9"/>
        <v>60437.847222222234</v>
      </c>
      <c r="P43" s="322"/>
    </row>
    <row r="44" spans="2:17" x14ac:dyDescent="0.25">
      <c r="B44" s="321"/>
      <c r="C44" s="378"/>
      <c r="D44" s="51">
        <v>14</v>
      </c>
      <c r="E44" s="56">
        <v>2142.480158730159</v>
      </c>
      <c r="F44" s="56">
        <v>812.22</v>
      </c>
      <c r="G44" s="56">
        <f t="shared" si="8"/>
        <v>1111.1111111111111</v>
      </c>
      <c r="H44" s="55">
        <f t="shared" si="5"/>
        <v>4065.8112698412706</v>
      </c>
      <c r="I44" s="57">
        <f t="shared" si="6"/>
        <v>0.52695022383904244</v>
      </c>
      <c r="J44" s="325">
        <f>+I44</f>
        <v>0.52695022383904244</v>
      </c>
      <c r="K44" s="286">
        <f t="shared" si="7"/>
        <v>6098.7169047619063</v>
      </c>
      <c r="L44" s="272">
        <f t="shared" si="4"/>
        <v>2032.9056349206357</v>
      </c>
      <c r="N44" s="339">
        <f>+L44*C43</f>
        <v>142303.39444444451</v>
      </c>
      <c r="O44" s="339">
        <f t="shared" si="9"/>
        <v>71151.697222222254</v>
      </c>
      <c r="P44" s="322"/>
    </row>
    <row r="45" spans="2:17" x14ac:dyDescent="0.25">
      <c r="B45" s="321"/>
      <c r="C45" s="378"/>
      <c r="D45" s="51">
        <v>17</v>
      </c>
      <c r="E45" s="56">
        <v>2142.480158730159</v>
      </c>
      <c r="F45" s="56">
        <v>1578.89</v>
      </c>
      <c r="G45" s="56">
        <f t="shared" si="8"/>
        <v>1111.1111111111111</v>
      </c>
      <c r="H45" s="55">
        <f t="shared" si="5"/>
        <v>4832.4812698412707</v>
      </c>
      <c r="I45" s="57">
        <f t="shared" si="6"/>
        <v>0.44334991469103646</v>
      </c>
      <c r="J45" s="40"/>
      <c r="K45" s="310">
        <f t="shared" si="7"/>
        <v>7248.7219047619055</v>
      </c>
      <c r="L45" s="272">
        <f t="shared" si="4"/>
        <v>2416.2406349206349</v>
      </c>
      <c r="N45" s="55">
        <f>+L45*C43</f>
        <v>169136.84444444443</v>
      </c>
      <c r="O45" s="55">
        <f t="shared" si="9"/>
        <v>84568.422222222216</v>
      </c>
      <c r="P45" s="322"/>
    </row>
    <row r="46" spans="2:17" x14ac:dyDescent="0.25">
      <c r="B46" s="321"/>
      <c r="C46" s="378">
        <v>100</v>
      </c>
      <c r="D46" s="51">
        <v>4</v>
      </c>
      <c r="E46" s="56">
        <v>1593.6944444444443</v>
      </c>
      <c r="F46" s="56">
        <v>200</v>
      </c>
      <c r="G46" s="56">
        <f t="shared" si="8"/>
        <v>1111.1111111111111</v>
      </c>
      <c r="H46" s="55">
        <f t="shared" si="5"/>
        <v>2904.8055555555557</v>
      </c>
      <c r="I46" s="57">
        <f t="shared" si="6"/>
        <v>0.54864066250370547</v>
      </c>
      <c r="J46" s="40"/>
      <c r="K46" s="310">
        <f t="shared" si="7"/>
        <v>4357.2083333333339</v>
      </c>
      <c r="L46" s="272">
        <f t="shared" si="4"/>
        <v>1452.4027777777783</v>
      </c>
      <c r="N46" s="55">
        <f>+L46*C46</f>
        <v>145240.27777777784</v>
      </c>
      <c r="O46" s="55">
        <f t="shared" si="9"/>
        <v>72620.13888888892</v>
      </c>
      <c r="P46" s="322"/>
    </row>
    <row r="47" spans="2:17" x14ac:dyDescent="0.25">
      <c r="B47" s="321"/>
      <c r="C47" s="378"/>
      <c r="D47" s="51">
        <v>14</v>
      </c>
      <c r="E47" s="56">
        <v>1593.6944444444443</v>
      </c>
      <c r="F47" s="56">
        <v>812.22</v>
      </c>
      <c r="G47" s="56">
        <f t="shared" si="8"/>
        <v>1111.1111111111111</v>
      </c>
      <c r="H47" s="55">
        <f t="shared" si="5"/>
        <v>3517.0255555555559</v>
      </c>
      <c r="I47" s="57">
        <f t="shared" si="6"/>
        <v>0.45313701003025592</v>
      </c>
      <c r="J47" s="325">
        <f>+I47</f>
        <v>0.45313701003025592</v>
      </c>
      <c r="K47" s="286">
        <f t="shared" si="7"/>
        <v>5275.5383333333339</v>
      </c>
      <c r="L47" s="272">
        <f t="shared" si="4"/>
        <v>1758.512777777778</v>
      </c>
      <c r="N47" s="339">
        <f>+L47*C46</f>
        <v>175851.27777777781</v>
      </c>
      <c r="O47" s="339">
        <f t="shared" si="9"/>
        <v>87925.638888888905</v>
      </c>
      <c r="P47" s="322"/>
    </row>
    <row r="48" spans="2:17" x14ac:dyDescent="0.25">
      <c r="B48" s="321"/>
      <c r="C48" s="378"/>
      <c r="D48" s="51">
        <v>17</v>
      </c>
      <c r="E48" s="56">
        <v>1593.6944444444443</v>
      </c>
      <c r="F48" s="56">
        <v>1578.89</v>
      </c>
      <c r="G48" s="56">
        <f t="shared" si="8"/>
        <v>1111.1111111111111</v>
      </c>
      <c r="H48" s="55">
        <f t="shared" si="5"/>
        <v>4283.695555555556</v>
      </c>
      <c r="I48" s="57">
        <f t="shared" si="6"/>
        <v>0.37203728037525224</v>
      </c>
      <c r="K48" s="310">
        <f t="shared" si="7"/>
        <v>6425.543333333334</v>
      </c>
      <c r="L48" s="272">
        <f t="shared" si="4"/>
        <v>2141.847777777778</v>
      </c>
      <c r="N48" s="55">
        <f>+L48*C46</f>
        <v>214184.77777777781</v>
      </c>
      <c r="O48" s="55">
        <f t="shared" si="9"/>
        <v>107092.38888888891</v>
      </c>
      <c r="P48" s="322"/>
    </row>
    <row r="49" spans="2:16" ht="9" customHeight="1" thickBot="1" x14ac:dyDescent="0.3">
      <c r="B49" s="326"/>
      <c r="C49" s="327"/>
      <c r="D49" s="328"/>
      <c r="E49" s="328"/>
      <c r="F49" s="328"/>
      <c r="G49" s="328"/>
      <c r="H49" s="329"/>
      <c r="I49" s="327"/>
      <c r="J49" s="327"/>
      <c r="K49" s="327"/>
      <c r="L49" s="327"/>
      <c r="M49" s="327"/>
      <c r="N49" s="327"/>
      <c r="O49" s="327"/>
      <c r="P49" s="330"/>
    </row>
    <row r="50" spans="2:16" ht="9" customHeight="1" x14ac:dyDescent="0.25">
      <c r="H50" s="274"/>
    </row>
    <row r="51" spans="2:16" x14ac:dyDescent="0.25">
      <c r="G51"/>
    </row>
  </sheetData>
  <mergeCells count="10">
    <mergeCell ref="C43:C45"/>
    <mergeCell ref="C46:C48"/>
    <mergeCell ref="C11:C13"/>
    <mergeCell ref="C14:C16"/>
    <mergeCell ref="C17:C19"/>
    <mergeCell ref="C20:C22"/>
    <mergeCell ref="C23:C25"/>
    <mergeCell ref="C34:C36"/>
    <mergeCell ref="C37:C39"/>
    <mergeCell ref="C40:C4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B3B29-76AF-4549-9884-BCF090C5089D}">
  <sheetPr>
    <tabColor rgb="FFCCFF33"/>
  </sheetPr>
  <dimension ref="B2:Q31"/>
  <sheetViews>
    <sheetView tabSelected="1" zoomScaleNormal="100" workbookViewId="0">
      <selection activeCell="J34" sqref="J33:J34"/>
    </sheetView>
  </sheetViews>
  <sheetFormatPr baseColWidth="10" defaultRowHeight="15" x14ac:dyDescent="0.25"/>
  <cols>
    <col min="2" max="2" width="2.42578125" customWidth="1"/>
    <col min="3" max="3" width="8.85546875" bestFit="1" customWidth="1"/>
    <col min="4" max="4" width="14.85546875" style="8" bestFit="1" customWidth="1"/>
    <col min="5" max="5" width="13.42578125" style="8" customWidth="1"/>
    <col min="6" max="6" width="12" style="8" customWidth="1"/>
    <col min="7" max="7" width="12.140625" style="8" bestFit="1" customWidth="1"/>
    <col min="8" max="8" width="12.85546875" style="37" customWidth="1"/>
    <col min="9" max="9" width="12.85546875" customWidth="1"/>
    <col min="10" max="10" width="11.7109375" bestFit="1" customWidth="1"/>
    <col min="11" max="11" width="13" customWidth="1"/>
    <col min="12" max="12" width="13.5703125" customWidth="1"/>
    <col min="13" max="13" width="2.42578125" customWidth="1"/>
    <col min="14" max="15" width="12.5703125" bestFit="1" customWidth="1"/>
    <col min="16" max="16" width="2.28515625" customWidth="1"/>
    <col min="17" max="17" width="13.28515625" bestFit="1" customWidth="1"/>
    <col min="18" max="18" width="15" bestFit="1" customWidth="1"/>
  </cols>
  <sheetData>
    <row r="2" spans="2:16" ht="27" thickBot="1" x14ac:dyDescent="0.45">
      <c r="C2" s="47" t="s">
        <v>244</v>
      </c>
    </row>
    <row r="3" spans="2:16" ht="16.5" thickBot="1" x14ac:dyDescent="0.3">
      <c r="C3" s="21" t="s">
        <v>245</v>
      </c>
      <c r="G3" s="58">
        <v>7500</v>
      </c>
      <c r="I3" s="21" t="s">
        <v>248</v>
      </c>
      <c r="J3" s="58">
        <v>7500</v>
      </c>
      <c r="K3" t="s">
        <v>249</v>
      </c>
    </row>
    <row r="4" spans="2:16" ht="16.5" thickBot="1" x14ac:dyDescent="0.3">
      <c r="C4" s="21" t="s">
        <v>246</v>
      </c>
      <c r="G4" s="58">
        <v>8500</v>
      </c>
    </row>
    <row r="5" spans="2:16" ht="15.75" thickBot="1" x14ac:dyDescent="0.3">
      <c r="C5" s="21"/>
    </row>
    <row r="6" spans="2:16" ht="16.5" thickBot="1" x14ac:dyDescent="0.3">
      <c r="C6" s="267" t="s">
        <v>152</v>
      </c>
      <c r="E6" s="334">
        <v>15000</v>
      </c>
      <c r="F6" s="336" t="s">
        <v>151</v>
      </c>
      <c r="H6" s="334">
        <v>10000</v>
      </c>
    </row>
    <row r="7" spans="2:16" x14ac:dyDescent="0.25">
      <c r="C7" s="337" t="s">
        <v>155</v>
      </c>
      <c r="F7" s="336" t="s">
        <v>155</v>
      </c>
    </row>
    <row r="8" spans="2:16" x14ac:dyDescent="0.25">
      <c r="C8" s="21"/>
      <c r="L8" s="305" t="s">
        <v>240</v>
      </c>
      <c r="M8" s="304">
        <v>40000</v>
      </c>
      <c r="N8" s="305" t="s">
        <v>241</v>
      </c>
      <c r="O8" s="304">
        <f>+M8/18</f>
        <v>2222.2222222222222</v>
      </c>
    </row>
    <row r="9" spans="2:16" ht="15.75" thickBot="1" x14ac:dyDescent="0.3">
      <c r="C9" s="267" t="s">
        <v>153</v>
      </c>
      <c r="F9" s="335">
        <v>1500</v>
      </c>
      <c r="G9" s="37" t="s">
        <v>154</v>
      </c>
      <c r="M9" s="8"/>
      <c r="N9" s="305" t="s">
        <v>237</v>
      </c>
      <c r="O9" s="304">
        <v>200</v>
      </c>
    </row>
    <row r="10" spans="2:16" ht="16.5" thickBot="1" x14ac:dyDescent="0.3">
      <c r="C10" s="267" t="s">
        <v>148</v>
      </c>
      <c r="E10" s="334">
        <v>20000</v>
      </c>
      <c r="M10" s="8"/>
      <c r="N10" s="305" t="s">
        <v>238</v>
      </c>
      <c r="O10" s="304">
        <v>812.22222222222217</v>
      </c>
    </row>
    <row r="11" spans="2:16" ht="15.75" thickBot="1" x14ac:dyDescent="0.3">
      <c r="M11" s="8"/>
      <c r="N11" s="305" t="s">
        <v>132</v>
      </c>
      <c r="O11" s="304">
        <v>1578.8888888888889</v>
      </c>
    </row>
    <row r="12" spans="2:16" ht="9" customHeight="1" x14ac:dyDescent="0.25">
      <c r="B12" s="316"/>
      <c r="C12" s="319"/>
      <c r="D12" s="317"/>
      <c r="E12" s="317"/>
      <c r="F12" s="317"/>
      <c r="G12" s="317"/>
      <c r="H12" s="318"/>
      <c r="I12" s="319"/>
      <c r="J12" s="319"/>
      <c r="K12" s="319"/>
      <c r="L12" s="319"/>
      <c r="M12" s="319"/>
      <c r="N12" s="319"/>
      <c r="O12" s="319"/>
      <c r="P12" s="320"/>
    </row>
    <row r="13" spans="2:16" ht="18.75" x14ac:dyDescent="0.3">
      <c r="B13" s="321"/>
      <c r="C13" s="331" t="s">
        <v>291</v>
      </c>
      <c r="H13" s="274"/>
      <c r="P13" s="322"/>
    </row>
    <row r="14" spans="2:16" x14ac:dyDescent="0.25">
      <c r="B14" s="321"/>
      <c r="H14" s="274"/>
      <c r="P14" s="322"/>
    </row>
    <row r="15" spans="2:16" x14ac:dyDescent="0.25">
      <c r="B15" s="321"/>
      <c r="D15" s="46"/>
      <c r="E15" s="333"/>
      <c r="F15" s="304"/>
      <c r="H15" s="274"/>
      <c r="K15" s="314" t="s">
        <v>145</v>
      </c>
      <c r="L15" s="332">
        <v>0.5</v>
      </c>
      <c r="P15" s="322"/>
    </row>
    <row r="16" spans="2:16" ht="3.75" customHeight="1" x14ac:dyDescent="0.25">
      <c r="B16" s="321"/>
      <c r="H16" s="274"/>
      <c r="P16" s="322"/>
    </row>
    <row r="17" spans="2:17" s="8" customFormat="1" ht="30" x14ac:dyDescent="0.25">
      <c r="B17" s="323"/>
      <c r="C17" s="298" t="s">
        <v>121</v>
      </c>
      <c r="D17" s="298" t="s">
        <v>140</v>
      </c>
      <c r="E17" s="307" t="s">
        <v>141</v>
      </c>
      <c r="F17" s="338" t="s">
        <v>142</v>
      </c>
      <c r="G17" s="338" t="s">
        <v>143</v>
      </c>
      <c r="H17" s="338" t="s">
        <v>139</v>
      </c>
      <c r="I17" s="307" t="s">
        <v>144</v>
      </c>
      <c r="K17" s="307" t="s">
        <v>146</v>
      </c>
      <c r="L17" s="307" t="s">
        <v>147</v>
      </c>
      <c r="N17" s="307" t="s">
        <v>149</v>
      </c>
      <c r="O17" s="307" t="s">
        <v>150</v>
      </c>
      <c r="P17" s="324"/>
    </row>
    <row r="18" spans="2:17" x14ac:dyDescent="0.25">
      <c r="B18" s="321"/>
      <c r="C18" s="4">
        <v>10</v>
      </c>
      <c r="D18" s="51">
        <v>14</v>
      </c>
      <c r="E18" s="56">
        <v>13118.194444444445</v>
      </c>
      <c r="F18" s="56">
        <v>812.22</v>
      </c>
      <c r="G18" s="56">
        <f>+(40000-E10)/18</f>
        <v>1111.1111111111111</v>
      </c>
      <c r="H18" s="55">
        <f>+E18+F18+G18</f>
        <v>15041.525555555556</v>
      </c>
      <c r="I18" s="57">
        <f>+E18/H18</f>
        <v>0.87213191215164132</v>
      </c>
      <c r="J18" s="40"/>
      <c r="K18" s="286">
        <f>+G3</f>
        <v>7500</v>
      </c>
      <c r="L18" s="342">
        <f>+K18/H18-1</f>
        <v>-0.50138036382686657</v>
      </c>
      <c r="N18" s="55">
        <f>+(K18-H18)*C18</f>
        <v>-75415.255555555559</v>
      </c>
      <c r="O18" s="55">
        <f>+N18/2</f>
        <v>-37707.62777777778</v>
      </c>
      <c r="P18" s="322"/>
    </row>
    <row r="19" spans="2:17" x14ac:dyDescent="0.25">
      <c r="B19" s="321"/>
      <c r="C19" s="4">
        <v>20</v>
      </c>
      <c r="D19" s="51">
        <v>14</v>
      </c>
      <c r="E19" s="56">
        <v>6715.6944444444443</v>
      </c>
      <c r="F19" s="56">
        <v>812.22</v>
      </c>
      <c r="G19" s="56">
        <f>+G18</f>
        <v>1111.1111111111111</v>
      </c>
      <c r="H19" s="55">
        <f t="shared" ref="H19:H29" si="0">+E19+F19+G19</f>
        <v>8639.0255555555559</v>
      </c>
      <c r="I19" s="57">
        <f t="shared" ref="I19:I29" si="1">+E19/H19</f>
        <v>0.7773671233239654</v>
      </c>
      <c r="J19" s="40"/>
      <c r="K19" s="286">
        <f>+K18</f>
        <v>7500</v>
      </c>
      <c r="L19" s="342">
        <f t="shared" ref="L19:L29" si="2">+K19/H19-1</f>
        <v>-0.13184653155969372</v>
      </c>
      <c r="N19" s="55">
        <f t="shared" ref="N19:N29" si="3">+(K19-H19)*C19</f>
        <v>-22780.511111111118</v>
      </c>
      <c r="O19" s="55">
        <f t="shared" ref="O19:O29" si="4">+N19/2</f>
        <v>-11390.255555555559</v>
      </c>
      <c r="P19" s="322"/>
    </row>
    <row r="20" spans="2:17" ht="15.75" x14ac:dyDescent="0.25">
      <c r="B20" s="321"/>
      <c r="C20" s="344">
        <v>25</v>
      </c>
      <c r="D20" s="51">
        <v>14</v>
      </c>
      <c r="E20" s="56">
        <v>5435.1944444444443</v>
      </c>
      <c r="F20" s="56">
        <v>812.22</v>
      </c>
      <c r="G20" s="56">
        <f>+G19</f>
        <v>1111.1111111111111</v>
      </c>
      <c r="H20" s="55">
        <f t="shared" ref="H20" si="5">+E20+F20+G20</f>
        <v>7358.5255555555559</v>
      </c>
      <c r="I20" s="57">
        <f t="shared" ref="I20" si="6">+E20/H20</f>
        <v>0.7386254764503698</v>
      </c>
      <c r="J20" s="40"/>
      <c r="K20" s="286">
        <f>+K19</f>
        <v>7500</v>
      </c>
      <c r="L20" s="343">
        <f t="shared" ref="L20" si="7">+K20/H20-1</f>
        <v>1.9225922826024977E-2</v>
      </c>
      <c r="N20" s="55">
        <f t="shared" si="3"/>
        <v>3536.8611111111022</v>
      </c>
      <c r="O20" s="55">
        <f t="shared" si="4"/>
        <v>1768.4305555555511</v>
      </c>
      <c r="P20" s="322"/>
      <c r="Q20" s="336" t="s">
        <v>250</v>
      </c>
    </row>
    <row r="21" spans="2:17" x14ac:dyDescent="0.25">
      <c r="B21" s="321"/>
      <c r="C21" s="4">
        <v>30</v>
      </c>
      <c r="D21" s="51">
        <v>14</v>
      </c>
      <c r="E21" s="56">
        <v>4581.5277777777774</v>
      </c>
      <c r="F21" s="56">
        <v>812.22</v>
      </c>
      <c r="G21" s="56">
        <f>+G19</f>
        <v>1111.1111111111111</v>
      </c>
      <c r="H21" s="55">
        <f t="shared" si="0"/>
        <v>6504.8588888888889</v>
      </c>
      <c r="I21" s="57">
        <f t="shared" si="1"/>
        <v>0.70432393016297379</v>
      </c>
      <c r="J21" s="40"/>
      <c r="K21" s="286">
        <f>+K19</f>
        <v>7500</v>
      </c>
      <c r="L21" s="341">
        <f t="shared" si="2"/>
        <v>0.1529842734653224</v>
      </c>
      <c r="N21" s="55">
        <f t="shared" si="3"/>
        <v>29854.23333333333</v>
      </c>
      <c r="O21" s="55">
        <f t="shared" si="4"/>
        <v>14927.116666666665</v>
      </c>
      <c r="P21" s="322"/>
    </row>
    <row r="22" spans="2:17" x14ac:dyDescent="0.25">
      <c r="B22" s="321"/>
      <c r="C22" s="4">
        <v>40</v>
      </c>
      <c r="D22" s="51">
        <v>14</v>
      </c>
      <c r="E22" s="340">
        <v>3514.4444444444443</v>
      </c>
      <c r="F22" s="56">
        <v>812.22</v>
      </c>
      <c r="G22" s="56">
        <f t="shared" ref="G22:G29" si="8">+G21</f>
        <v>1111.1111111111111</v>
      </c>
      <c r="H22" s="55">
        <f t="shared" si="0"/>
        <v>5437.7755555555559</v>
      </c>
      <c r="I22" s="57">
        <f t="shared" si="1"/>
        <v>0.64630185790840122</v>
      </c>
      <c r="J22" s="40"/>
      <c r="K22" s="286">
        <f t="shared" ref="K22:K29" si="9">+K21</f>
        <v>7500</v>
      </c>
      <c r="L22" s="341">
        <f t="shared" si="2"/>
        <v>0.37924044921963596</v>
      </c>
      <c r="N22" s="55">
        <f t="shared" si="3"/>
        <v>82488.977777777764</v>
      </c>
      <c r="O22" s="55">
        <f t="shared" si="4"/>
        <v>41244.488888888882</v>
      </c>
      <c r="P22" s="322"/>
    </row>
    <row r="23" spans="2:17" ht="15.75" x14ac:dyDescent="0.25">
      <c r="B23" s="321"/>
      <c r="C23" s="344">
        <v>47</v>
      </c>
      <c r="D23" s="51">
        <v>14</v>
      </c>
      <c r="E23" s="56">
        <v>3037.6625295508275</v>
      </c>
      <c r="F23" s="56">
        <v>812.22</v>
      </c>
      <c r="G23" s="56">
        <f>+G22</f>
        <v>1111.1111111111111</v>
      </c>
      <c r="H23" s="55">
        <f t="shared" si="0"/>
        <v>4960.993640661939</v>
      </c>
      <c r="I23" s="57">
        <f t="shared" si="1"/>
        <v>0.61230929720472616</v>
      </c>
      <c r="J23" s="40"/>
      <c r="K23" s="286">
        <f>+K22</f>
        <v>7500</v>
      </c>
      <c r="L23" s="343">
        <f t="shared" si="2"/>
        <v>0.51179391534137997</v>
      </c>
      <c r="N23" s="55">
        <f t="shared" si="3"/>
        <v>119333.29888888886</v>
      </c>
      <c r="O23" s="55">
        <f t="shared" si="4"/>
        <v>59666.649444444432</v>
      </c>
      <c r="P23" s="322"/>
    </row>
    <row r="24" spans="2:17" x14ac:dyDescent="0.25">
      <c r="B24" s="321"/>
      <c r="C24" s="4">
        <v>50</v>
      </c>
      <c r="D24" s="51">
        <v>14</v>
      </c>
      <c r="E24" s="56">
        <v>2874.1944444444443</v>
      </c>
      <c r="F24" s="56">
        <v>812.22</v>
      </c>
      <c r="G24" s="56">
        <f>+G22</f>
        <v>1111.1111111111111</v>
      </c>
      <c r="H24" s="55">
        <f t="shared" si="0"/>
        <v>4797.5255555555559</v>
      </c>
      <c r="I24" s="57">
        <f t="shared" si="1"/>
        <v>0.59909935052166929</v>
      </c>
      <c r="J24" s="40"/>
      <c r="K24" s="286">
        <f>+K22</f>
        <v>7500</v>
      </c>
      <c r="L24" s="341">
        <f t="shared" si="2"/>
        <v>0.56330589866581682</v>
      </c>
      <c r="N24" s="55">
        <f t="shared" si="3"/>
        <v>135123.72222222219</v>
      </c>
      <c r="O24" s="55">
        <f t="shared" si="4"/>
        <v>67561.861111111095</v>
      </c>
      <c r="P24" s="322"/>
    </row>
    <row r="25" spans="2:17" x14ac:dyDescent="0.25">
      <c r="B25" s="321"/>
      <c r="C25" s="4">
        <v>60</v>
      </c>
      <c r="D25" s="51">
        <v>14</v>
      </c>
      <c r="E25" s="56">
        <v>2447.3611111111113</v>
      </c>
      <c r="F25" s="56">
        <v>812.22</v>
      </c>
      <c r="G25" s="56">
        <f t="shared" si="8"/>
        <v>1111.1111111111111</v>
      </c>
      <c r="H25" s="55">
        <f t="shared" si="0"/>
        <v>4370.6922222222229</v>
      </c>
      <c r="I25" s="57">
        <f t="shared" si="1"/>
        <v>0.55994816991867291</v>
      </c>
      <c r="J25" s="40"/>
      <c r="K25" s="286">
        <f t="shared" si="9"/>
        <v>7500</v>
      </c>
      <c r="L25" s="341">
        <f t="shared" si="2"/>
        <v>0.71597532351219195</v>
      </c>
      <c r="N25" s="55">
        <f t="shared" si="3"/>
        <v>187758.46666666662</v>
      </c>
      <c r="O25" s="55">
        <f t="shared" si="4"/>
        <v>93879.233333333308</v>
      </c>
      <c r="P25" s="322"/>
    </row>
    <row r="26" spans="2:17" x14ac:dyDescent="0.25">
      <c r="B26" s="321"/>
      <c r="C26" s="4">
        <v>70</v>
      </c>
      <c r="D26" s="51">
        <v>14</v>
      </c>
      <c r="E26" s="56">
        <v>2142.480158730159</v>
      </c>
      <c r="F26" s="56">
        <v>812.22</v>
      </c>
      <c r="G26" s="56">
        <f t="shared" si="8"/>
        <v>1111.1111111111111</v>
      </c>
      <c r="H26" s="55">
        <f t="shared" si="0"/>
        <v>4065.8112698412706</v>
      </c>
      <c r="I26" s="57">
        <f t="shared" si="1"/>
        <v>0.52695022383904244</v>
      </c>
      <c r="J26" s="40"/>
      <c r="K26" s="286">
        <f t="shared" si="9"/>
        <v>7500</v>
      </c>
      <c r="L26" s="341">
        <f t="shared" si="2"/>
        <v>0.84465030524960905</v>
      </c>
      <c r="N26" s="55">
        <f t="shared" si="3"/>
        <v>240393.21111111107</v>
      </c>
      <c r="O26" s="55">
        <f t="shared" si="4"/>
        <v>120196.60555555554</v>
      </c>
      <c r="P26" s="322"/>
    </row>
    <row r="27" spans="2:17" x14ac:dyDescent="0.25">
      <c r="B27" s="321"/>
      <c r="C27" s="4">
        <v>80</v>
      </c>
      <c r="D27" s="51">
        <v>14</v>
      </c>
      <c r="E27" s="56">
        <v>1913.8194444444443</v>
      </c>
      <c r="F27" s="56">
        <v>812.22</v>
      </c>
      <c r="G27" s="56">
        <f t="shared" si="8"/>
        <v>1111.1111111111111</v>
      </c>
      <c r="H27" s="55">
        <f t="shared" si="0"/>
        <v>3837.1505555555559</v>
      </c>
      <c r="I27" s="57">
        <f t="shared" si="1"/>
        <v>0.49876058203490403</v>
      </c>
      <c r="J27" s="40"/>
      <c r="K27" s="286">
        <f t="shared" si="9"/>
        <v>7500</v>
      </c>
      <c r="L27" s="341">
        <f t="shared" si="2"/>
        <v>0.95457537863382691</v>
      </c>
      <c r="N27" s="55">
        <f t="shared" si="3"/>
        <v>293027.95555555553</v>
      </c>
      <c r="O27" s="55">
        <f t="shared" si="4"/>
        <v>146513.97777777776</v>
      </c>
      <c r="P27" s="322"/>
      <c r="Q27" s="336" t="s">
        <v>251</v>
      </c>
    </row>
    <row r="28" spans="2:17" x14ac:dyDescent="0.25">
      <c r="B28" s="321"/>
      <c r="C28" s="4">
        <v>90</v>
      </c>
      <c r="D28" s="51">
        <v>14</v>
      </c>
      <c r="E28" s="56">
        <v>1735.9722222222219</v>
      </c>
      <c r="F28" s="56">
        <v>812.22</v>
      </c>
      <c r="G28" s="56">
        <f t="shared" si="8"/>
        <v>1111.1111111111111</v>
      </c>
      <c r="H28" s="55">
        <f t="shared" si="0"/>
        <v>3659.3033333333333</v>
      </c>
      <c r="I28" s="57">
        <f t="shared" si="1"/>
        <v>0.47439965044955423</v>
      </c>
      <c r="J28" s="40"/>
      <c r="K28" s="286">
        <f t="shared" si="9"/>
        <v>7500</v>
      </c>
      <c r="L28" s="341">
        <f t="shared" si="2"/>
        <v>1.0495704555785208</v>
      </c>
      <c r="N28" s="55">
        <f t="shared" si="3"/>
        <v>345662.7</v>
      </c>
      <c r="O28" s="55">
        <f t="shared" si="4"/>
        <v>172831.35</v>
      </c>
      <c r="P28" s="322"/>
    </row>
    <row r="29" spans="2:17" x14ac:dyDescent="0.25">
      <c r="B29" s="321"/>
      <c r="C29" s="4">
        <v>100</v>
      </c>
      <c r="D29" s="51">
        <v>14</v>
      </c>
      <c r="E29" s="56">
        <v>1593.6944444444443</v>
      </c>
      <c r="F29" s="56">
        <v>812.22</v>
      </c>
      <c r="G29" s="56">
        <f t="shared" si="8"/>
        <v>1111.1111111111111</v>
      </c>
      <c r="H29" s="55">
        <f t="shared" si="0"/>
        <v>3517.0255555555559</v>
      </c>
      <c r="I29" s="57">
        <f t="shared" si="1"/>
        <v>0.45313701003025592</v>
      </c>
      <c r="J29" s="40"/>
      <c r="K29" s="286">
        <f t="shared" si="9"/>
        <v>7500</v>
      </c>
      <c r="L29" s="341">
        <f t="shared" si="2"/>
        <v>1.132483793912975</v>
      </c>
      <c r="N29" s="55">
        <f t="shared" si="3"/>
        <v>398297.44444444438</v>
      </c>
      <c r="O29" s="55">
        <f t="shared" si="4"/>
        <v>199148.72222222219</v>
      </c>
      <c r="P29" s="322"/>
    </row>
    <row r="30" spans="2:17" ht="9" customHeight="1" thickBot="1" x14ac:dyDescent="0.3">
      <c r="B30" s="326"/>
      <c r="C30" s="327"/>
      <c r="D30" s="328"/>
      <c r="E30" s="328"/>
      <c r="F30" s="328"/>
      <c r="G30" s="328"/>
      <c r="H30" s="329"/>
      <c r="I30" s="327"/>
      <c r="J30" s="327"/>
      <c r="K30" s="327"/>
      <c r="L30" s="327"/>
      <c r="M30" s="327"/>
      <c r="N30" s="327"/>
      <c r="O30" s="327"/>
      <c r="P30" s="330"/>
    </row>
    <row r="31" spans="2:17" ht="9" customHeight="1" x14ac:dyDescent="0.25">
      <c r="H31" s="27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4EB09-3866-4704-9EF5-D169B860062C}">
  <dimension ref="A1:E10"/>
  <sheetViews>
    <sheetView zoomScale="150" zoomScaleNormal="150" workbookViewId="0">
      <selection activeCell="D5" sqref="D5"/>
    </sheetView>
  </sheetViews>
  <sheetFormatPr baseColWidth="10" defaultRowHeight="15" x14ac:dyDescent="0.25"/>
  <cols>
    <col min="1" max="1" width="44.140625" bestFit="1" customWidth="1"/>
    <col min="2" max="2" width="13.85546875" bestFit="1" customWidth="1"/>
    <col min="3" max="3" width="13.85546875" customWidth="1"/>
    <col min="4" max="4" width="21" bestFit="1" customWidth="1"/>
    <col min="5" max="5" width="12.28515625" bestFit="1" customWidth="1"/>
  </cols>
  <sheetData>
    <row r="1" spans="1:5" ht="42.75" customHeight="1" x14ac:dyDescent="0.25"/>
    <row r="2" spans="1:5" ht="26.25" x14ac:dyDescent="0.4">
      <c r="A2" s="47" t="s">
        <v>123</v>
      </c>
      <c r="B2" s="361" t="s">
        <v>272</v>
      </c>
      <c r="C2" s="361" t="s">
        <v>272</v>
      </c>
    </row>
    <row r="3" spans="1:5" ht="5.25" customHeight="1" x14ac:dyDescent="0.25"/>
    <row r="4" spans="1:5" x14ac:dyDescent="0.25">
      <c r="A4" s="43" t="s">
        <v>115</v>
      </c>
      <c r="B4" s="41">
        <v>0</v>
      </c>
      <c r="C4" s="41">
        <v>12000</v>
      </c>
      <c r="E4" t="s">
        <v>271</v>
      </c>
    </row>
    <row r="5" spans="1:5" x14ac:dyDescent="0.25">
      <c r="A5" s="43" t="s">
        <v>116</v>
      </c>
      <c r="B5" s="41">
        <v>0</v>
      </c>
      <c r="C5" s="41">
        <v>25000</v>
      </c>
      <c r="E5" t="s">
        <v>271</v>
      </c>
    </row>
    <row r="6" spans="1:5" x14ac:dyDescent="0.25">
      <c r="A6" s="44" t="s">
        <v>120</v>
      </c>
      <c r="B6" s="38">
        <v>2500</v>
      </c>
      <c r="C6" s="38">
        <v>2500</v>
      </c>
    </row>
    <row r="7" spans="1:5" x14ac:dyDescent="0.25">
      <c r="A7" s="44" t="s">
        <v>221</v>
      </c>
      <c r="B7" s="38">
        <v>25000</v>
      </c>
      <c r="C7" s="38">
        <v>25000</v>
      </c>
      <c r="E7" t="s">
        <v>271</v>
      </c>
    </row>
    <row r="8" spans="1:5" x14ac:dyDescent="0.25">
      <c r="A8" s="44" t="s">
        <v>122</v>
      </c>
      <c r="B8" s="38">
        <v>0</v>
      </c>
      <c r="C8" s="38">
        <v>20000</v>
      </c>
      <c r="E8" t="s">
        <v>137</v>
      </c>
    </row>
    <row r="9" spans="1:5" x14ac:dyDescent="0.25">
      <c r="A9" s="44" t="s">
        <v>137</v>
      </c>
      <c r="B9" s="38">
        <v>40000</v>
      </c>
      <c r="C9" s="38">
        <v>40000</v>
      </c>
      <c r="D9" t="s">
        <v>138</v>
      </c>
    </row>
    <row r="10" spans="1:5" ht="15.75" x14ac:dyDescent="0.25">
      <c r="A10" s="44"/>
      <c r="B10" s="45">
        <f>SUM(B4:B9)</f>
        <v>67500</v>
      </c>
      <c r="C10" s="45">
        <f>SUM(C4:C9)</f>
        <v>124500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6822A-6CE8-4883-B688-7976BB77169B}">
  <dimension ref="A3:P27"/>
  <sheetViews>
    <sheetView showGridLines="0" zoomScale="140" zoomScaleNormal="140" workbookViewId="0">
      <selection activeCell="F19" sqref="F19"/>
    </sheetView>
  </sheetViews>
  <sheetFormatPr baseColWidth="10" defaultRowHeight="15" x14ac:dyDescent="0.25"/>
  <cols>
    <col min="1" max="1" width="3" customWidth="1"/>
    <col min="2" max="2" width="18.42578125" bestFit="1" customWidth="1"/>
    <col min="3" max="6" width="9.28515625" customWidth="1"/>
    <col min="7" max="8" width="9.28515625" style="60" customWidth="1"/>
    <col min="10" max="10" width="11.42578125" style="40"/>
    <col min="12" max="12" width="12.140625" bestFit="1" customWidth="1"/>
  </cols>
  <sheetData>
    <row r="3" spans="1:16" ht="26.25" x14ac:dyDescent="0.4">
      <c r="B3" s="47" t="s">
        <v>158</v>
      </c>
    </row>
    <row r="5" spans="1:16" x14ac:dyDescent="0.25">
      <c r="C5" s="5" t="s">
        <v>157</v>
      </c>
      <c r="D5" s="5" t="s">
        <v>117</v>
      </c>
      <c r="E5" s="5" t="s">
        <v>160</v>
      </c>
      <c r="F5" s="5" t="s">
        <v>159</v>
      </c>
      <c r="G5" s="166" t="s">
        <v>161</v>
      </c>
      <c r="H5" s="166" t="s">
        <v>162</v>
      </c>
      <c r="K5" s="40"/>
      <c r="M5" s="8"/>
      <c r="O5" s="8"/>
      <c r="P5" s="37"/>
    </row>
    <row r="6" spans="1:16" x14ac:dyDescent="0.25">
      <c r="B6" s="164" t="s">
        <v>183</v>
      </c>
      <c r="C6" s="51">
        <v>190</v>
      </c>
      <c r="D6" s="51">
        <f>+C6*7</f>
        <v>1330</v>
      </c>
      <c r="E6" s="51">
        <v>519</v>
      </c>
      <c r="F6" s="51">
        <f>+D6-E6</f>
        <v>811</v>
      </c>
      <c r="G6" s="165">
        <f>+E6/D6</f>
        <v>0.39022556390977442</v>
      </c>
      <c r="H6" s="165">
        <f>+F6/D6</f>
        <v>0.60977443609022552</v>
      </c>
      <c r="K6" s="40"/>
      <c r="M6" s="8"/>
      <c r="O6" s="8"/>
      <c r="P6" s="37"/>
    </row>
    <row r="7" spans="1:16" x14ac:dyDescent="0.25">
      <c r="B7" s="164" t="s">
        <v>156</v>
      </c>
      <c r="C7" s="51">
        <f>+C6/2</f>
        <v>95</v>
      </c>
      <c r="D7" s="51">
        <f>+C7*7</f>
        <v>665</v>
      </c>
      <c r="E7" s="51">
        <v>78</v>
      </c>
      <c r="F7" s="51">
        <v>587</v>
      </c>
      <c r="G7" s="165">
        <f>+E7/D7</f>
        <v>0.11729323308270677</v>
      </c>
      <c r="H7" s="165">
        <f>+F7/D7</f>
        <v>0.88270676691729322</v>
      </c>
      <c r="J7" s="283"/>
      <c r="K7" s="40"/>
      <c r="M7" s="8"/>
      <c r="O7" s="8"/>
      <c r="P7" s="37"/>
    </row>
    <row r="8" spans="1:16" x14ac:dyDescent="0.25">
      <c r="B8" s="59" t="s">
        <v>84</v>
      </c>
      <c r="C8" s="1">
        <f>+C6+C7</f>
        <v>285</v>
      </c>
      <c r="D8" s="1">
        <f>+D6+D7</f>
        <v>1995</v>
      </c>
      <c r="K8" s="40"/>
      <c r="M8" s="8"/>
      <c r="O8" s="8"/>
      <c r="P8" s="37"/>
    </row>
    <row r="9" spans="1:16" x14ac:dyDescent="0.25">
      <c r="B9" s="46"/>
      <c r="K9" s="40"/>
      <c r="M9" s="8"/>
      <c r="O9" s="8"/>
      <c r="P9" s="37"/>
    </row>
    <row r="10" spans="1:16" x14ac:dyDescent="0.25">
      <c r="A10" t="s">
        <v>252</v>
      </c>
      <c r="K10" s="40"/>
      <c r="M10" s="8"/>
      <c r="O10" s="8"/>
      <c r="P10" s="37"/>
    </row>
    <row r="11" spans="1:16" x14ac:dyDescent="0.25">
      <c r="B11" s="2" t="s">
        <v>16</v>
      </c>
      <c r="M11" s="8"/>
      <c r="O11" s="8"/>
      <c r="P11" s="37"/>
    </row>
    <row r="12" spans="1:16" ht="15.75" x14ac:dyDescent="0.25">
      <c r="B12" s="2" t="s">
        <v>11</v>
      </c>
      <c r="J12" s="284"/>
      <c r="K12" s="40"/>
      <c r="M12" s="8"/>
      <c r="N12" s="48"/>
      <c r="O12" s="40"/>
      <c r="P12" s="37"/>
    </row>
    <row r="13" spans="1:16" ht="15.75" x14ac:dyDescent="0.25">
      <c r="B13" s="2" t="s">
        <v>12</v>
      </c>
      <c r="J13" s="284"/>
      <c r="K13" s="40"/>
      <c r="M13" s="8"/>
      <c r="N13" s="48"/>
      <c r="O13" s="40"/>
      <c r="P13" s="37"/>
    </row>
    <row r="14" spans="1:16" ht="15.75" x14ac:dyDescent="0.25">
      <c r="B14" s="2" t="s">
        <v>13</v>
      </c>
      <c r="J14" s="284"/>
      <c r="K14" s="40"/>
      <c r="M14" s="8"/>
      <c r="N14" s="48"/>
      <c r="O14" s="8"/>
      <c r="P14" s="37"/>
    </row>
    <row r="15" spans="1:16" ht="15.75" x14ac:dyDescent="0.25">
      <c r="B15" s="2" t="s">
        <v>15</v>
      </c>
      <c r="J15" s="284"/>
      <c r="K15" s="40"/>
      <c r="M15" s="8"/>
      <c r="N15" s="48"/>
      <c r="O15" s="40"/>
      <c r="P15" s="37"/>
    </row>
    <row r="16" spans="1:16" ht="15.75" x14ac:dyDescent="0.25">
      <c r="B16" s="2" t="s">
        <v>14</v>
      </c>
      <c r="J16" s="284"/>
      <c r="K16" s="40"/>
      <c r="M16" s="8"/>
      <c r="N16" s="48"/>
    </row>
    <row r="17" spans="10:14" ht="15.75" x14ac:dyDescent="0.25">
      <c r="J17" s="284"/>
      <c r="K17" s="40"/>
      <c r="M17" s="8"/>
      <c r="N17" s="48"/>
    </row>
    <row r="18" spans="10:14" ht="15.75" x14ac:dyDescent="0.25">
      <c r="J18" s="284"/>
      <c r="K18" s="40"/>
      <c r="M18" s="8"/>
      <c r="N18" s="48"/>
    </row>
    <row r="19" spans="10:14" ht="15.75" x14ac:dyDescent="0.25">
      <c r="J19" s="284"/>
      <c r="K19" s="40"/>
      <c r="M19" s="8"/>
      <c r="N19" s="48"/>
    </row>
    <row r="20" spans="10:14" ht="15.75" x14ac:dyDescent="0.25">
      <c r="J20" s="284"/>
      <c r="K20" s="40"/>
      <c r="M20" s="8"/>
      <c r="N20" s="48"/>
    </row>
    <row r="21" spans="10:14" ht="15.75" x14ac:dyDescent="0.25">
      <c r="J21" s="284"/>
      <c r="K21" s="40"/>
      <c r="M21" s="8"/>
      <c r="N21" s="48"/>
    </row>
    <row r="22" spans="10:14" ht="15.75" x14ac:dyDescent="0.25">
      <c r="J22" s="284"/>
      <c r="K22" s="40"/>
      <c r="M22" s="8"/>
      <c r="N22" s="48"/>
    </row>
    <row r="23" spans="10:14" ht="15.75" x14ac:dyDescent="0.25">
      <c r="J23" s="284"/>
      <c r="K23" s="40"/>
      <c r="M23" s="8"/>
      <c r="N23" s="48"/>
    </row>
    <row r="24" spans="10:14" ht="15.75" x14ac:dyDescent="0.25">
      <c r="J24" s="284"/>
      <c r="K24" s="40"/>
      <c r="M24" s="8"/>
      <c r="N24" s="48"/>
    </row>
    <row r="25" spans="10:14" ht="15.75" x14ac:dyDescent="0.25">
      <c r="J25" s="284"/>
      <c r="K25" s="40"/>
      <c r="M25" s="8"/>
      <c r="N25" s="48"/>
    </row>
    <row r="26" spans="10:14" ht="15.75" x14ac:dyDescent="0.25">
      <c r="J26" s="284"/>
      <c r="K26" s="40"/>
      <c r="M26" s="8"/>
      <c r="N26" s="48"/>
    </row>
    <row r="27" spans="10:14" x14ac:dyDescent="0.25">
      <c r="J27" s="8"/>
      <c r="K27" s="8"/>
      <c r="M27" s="37"/>
    </row>
  </sheetData>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8D8D8-7389-44AE-BAEA-05AB3C53E9B6}">
  <dimension ref="G21:P24"/>
  <sheetViews>
    <sheetView workbookViewId="0">
      <selection activeCell="E4" sqref="E4"/>
    </sheetView>
  </sheetViews>
  <sheetFormatPr baseColWidth="10" defaultRowHeight="15" x14ac:dyDescent="0.25"/>
  <sheetData>
    <row r="21" spans="7:16" s="8" customFormat="1" ht="36" x14ac:dyDescent="0.55000000000000004">
      <c r="G21" s="362">
        <v>1</v>
      </c>
      <c r="K21" s="362">
        <v>5</v>
      </c>
      <c r="O21" s="362">
        <v>10</v>
      </c>
    </row>
    <row r="23" spans="7:16" x14ac:dyDescent="0.25">
      <c r="G23" s="363">
        <v>7500</v>
      </c>
      <c r="K23" s="37">
        <v>3500</v>
      </c>
      <c r="O23" s="37">
        <v>30000</v>
      </c>
      <c r="P23" t="s">
        <v>273</v>
      </c>
    </row>
    <row r="24" spans="7:16" x14ac:dyDescent="0.25">
      <c r="O24" s="37">
        <v>30000</v>
      </c>
      <c r="P24" t="s">
        <v>274</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3B14F-855E-45DD-87CB-3C022899E467}">
  <dimension ref="E4:M21"/>
  <sheetViews>
    <sheetView workbookViewId="0">
      <selection activeCell="I6" sqref="I6"/>
    </sheetView>
  </sheetViews>
  <sheetFormatPr baseColWidth="10" defaultRowHeight="15" x14ac:dyDescent="0.25"/>
  <cols>
    <col min="5" max="5" width="20.7109375" bestFit="1" customWidth="1"/>
    <col min="6" max="6" width="12.7109375" style="37" bestFit="1" customWidth="1"/>
    <col min="7" max="7" width="11.85546875" customWidth="1"/>
    <col min="8" max="8" width="4.28515625" customWidth="1"/>
    <col min="10" max="10" width="16.7109375" customWidth="1"/>
    <col min="11" max="11" width="13.140625" customWidth="1"/>
    <col min="13" max="13" width="4.140625" customWidth="1"/>
  </cols>
  <sheetData>
    <row r="4" spans="5:13" ht="24" x14ac:dyDescent="0.4">
      <c r="E4" s="370" t="s">
        <v>286</v>
      </c>
    </row>
    <row r="6" spans="5:13" ht="21" x14ac:dyDescent="0.35">
      <c r="E6" s="369" t="s">
        <v>287</v>
      </c>
      <c r="J6" s="369" t="s">
        <v>288</v>
      </c>
      <c r="K6" s="37"/>
    </row>
    <row r="7" spans="5:13" x14ac:dyDescent="0.25">
      <c r="K7" s="37"/>
    </row>
    <row r="8" spans="5:13" s="21" customFormat="1" x14ac:dyDescent="0.25">
      <c r="E8" s="368" t="s">
        <v>284</v>
      </c>
      <c r="F8" s="368" t="s">
        <v>84</v>
      </c>
      <c r="G8" s="368" t="s">
        <v>285</v>
      </c>
      <c r="J8" s="368" t="s">
        <v>284</v>
      </c>
      <c r="K8" s="368" t="s">
        <v>84</v>
      </c>
      <c r="L8" s="368" t="s">
        <v>285</v>
      </c>
    </row>
    <row r="9" spans="5:13" x14ac:dyDescent="0.25">
      <c r="E9" s="21" t="s">
        <v>275</v>
      </c>
      <c r="F9" s="37">
        <v>7500</v>
      </c>
      <c r="J9" s="21" t="s">
        <v>289</v>
      </c>
      <c r="K9" s="37">
        <v>7500</v>
      </c>
    </row>
    <row r="10" spans="5:13" x14ac:dyDescent="0.25">
      <c r="E10" s="21" t="s">
        <v>276</v>
      </c>
      <c r="F10" s="37">
        <f>+F9*0.16</f>
        <v>1200</v>
      </c>
      <c r="G10" s="364">
        <v>0.16</v>
      </c>
      <c r="J10" s="21" t="s">
        <v>276</v>
      </c>
      <c r="K10" s="37">
        <f>+K9*0.16</f>
        <v>1200</v>
      </c>
      <c r="L10" s="364">
        <v>0.16</v>
      </c>
    </row>
    <row r="11" spans="5:13" x14ac:dyDescent="0.25">
      <c r="E11" s="21" t="s">
        <v>277</v>
      </c>
      <c r="F11" s="37">
        <f>+F9*G11</f>
        <v>262.5</v>
      </c>
      <c r="G11" s="365">
        <v>3.5000000000000003E-2</v>
      </c>
      <c r="J11" s="21" t="s">
        <v>277</v>
      </c>
      <c r="K11" s="37">
        <f>+K9*L11</f>
        <v>262.5</v>
      </c>
      <c r="L11" s="365">
        <v>3.5000000000000003E-2</v>
      </c>
    </row>
    <row r="12" spans="5:13" x14ac:dyDescent="0.25">
      <c r="E12" s="21"/>
      <c r="F12" s="37">
        <f>SUM(F9:F11)</f>
        <v>8962.5</v>
      </c>
      <c r="G12" s="364"/>
      <c r="J12" s="21"/>
      <c r="K12" s="37">
        <f>SUM(K9:K11)</f>
        <v>8962.5</v>
      </c>
      <c r="L12" s="364"/>
    </row>
    <row r="13" spans="5:13" x14ac:dyDescent="0.25">
      <c r="E13" s="21"/>
      <c r="J13" s="21"/>
      <c r="K13" s="37"/>
    </row>
    <row r="14" spans="5:13" ht="15.75" x14ac:dyDescent="0.25">
      <c r="E14" s="21" t="s">
        <v>278</v>
      </c>
      <c r="F14" s="367">
        <v>9000</v>
      </c>
      <c r="G14" s="366"/>
      <c r="H14" s="366"/>
      <c r="J14" s="21" t="s">
        <v>278</v>
      </c>
      <c r="K14" s="367">
        <v>9000</v>
      </c>
      <c r="L14" s="366"/>
      <c r="M14" s="366"/>
    </row>
    <row r="15" spans="5:13" x14ac:dyDescent="0.25">
      <c r="E15" s="21"/>
      <c r="H15" s="366"/>
      <c r="J15" s="21"/>
      <c r="K15" s="37"/>
      <c r="M15" s="366"/>
    </row>
    <row r="16" spans="5:13" ht="18.75" x14ac:dyDescent="0.3">
      <c r="E16" s="331" t="s">
        <v>279</v>
      </c>
      <c r="H16" s="366"/>
      <c r="J16" s="331" t="s">
        <v>290</v>
      </c>
      <c r="K16" s="37"/>
      <c r="M16" s="366"/>
    </row>
    <row r="17" spans="5:13" ht="15.75" x14ac:dyDescent="0.25">
      <c r="E17" s="21"/>
      <c r="F17" s="48">
        <v>15000</v>
      </c>
      <c r="H17" s="366"/>
      <c r="J17" s="21"/>
      <c r="K17" s="48">
        <v>15000</v>
      </c>
      <c r="M17" s="366"/>
    </row>
    <row r="18" spans="5:13" x14ac:dyDescent="0.25">
      <c r="E18" s="21" t="s">
        <v>280</v>
      </c>
      <c r="F18" s="37">
        <f>+F17*0.9</f>
        <v>13500</v>
      </c>
      <c r="H18" s="366"/>
      <c r="J18" s="21" t="s">
        <v>280</v>
      </c>
      <c r="K18" s="37">
        <f>+K17*0.9</f>
        <v>13500</v>
      </c>
      <c r="M18" s="366"/>
    </row>
    <row r="19" spans="5:13" x14ac:dyDescent="0.25">
      <c r="E19" s="21" t="s">
        <v>281</v>
      </c>
      <c r="F19" s="37">
        <f>+F17*0.8</f>
        <v>12000</v>
      </c>
      <c r="H19" s="366"/>
      <c r="J19" s="21" t="s">
        <v>281</v>
      </c>
      <c r="K19" s="37">
        <f>+K17*0.8</f>
        <v>12000</v>
      </c>
      <c r="M19" s="366"/>
    </row>
    <row r="20" spans="5:13" x14ac:dyDescent="0.25">
      <c r="E20" s="21" t="s">
        <v>283</v>
      </c>
      <c r="F20" s="37">
        <f>+F17*0.7</f>
        <v>10500</v>
      </c>
      <c r="H20" s="366"/>
      <c r="J20" s="21" t="s">
        <v>283</v>
      </c>
      <c r="K20" s="37">
        <f>+K17*0.7</f>
        <v>10500</v>
      </c>
      <c r="M20" s="366"/>
    </row>
    <row r="21" spans="5:13" ht="15.75" x14ac:dyDescent="0.25">
      <c r="E21" s="21" t="s">
        <v>282</v>
      </c>
      <c r="F21" s="367">
        <f>+F17*0.6</f>
        <v>9000</v>
      </c>
      <c r="G21" s="366"/>
      <c r="H21" s="366"/>
      <c r="J21" s="21" t="s">
        <v>282</v>
      </c>
      <c r="K21" s="367">
        <f>+K17*0.6</f>
        <v>9000</v>
      </c>
      <c r="L21" s="366"/>
      <c r="M21" s="36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vt:i4>
      </vt:variant>
    </vt:vector>
  </HeadingPairs>
  <TitlesOfParts>
    <vt:vector size="13" baseType="lpstr">
      <vt:lpstr>Modelo</vt:lpstr>
      <vt:lpstr>Modelo Detalle</vt:lpstr>
      <vt:lpstr>Modelo Financiero Operativo</vt:lpstr>
      <vt:lpstr>Modelo Financiero Operativo (2)</vt:lpstr>
      <vt:lpstr>Asesor Practicas</vt:lpstr>
      <vt:lpstr>Analisis Financiero</vt:lpstr>
      <vt:lpstr>Resultado Analisis y Conclusion</vt:lpstr>
      <vt:lpstr>Costos Fijos</vt:lpstr>
      <vt:lpstr>Teoria Practica para el Modelo</vt:lpstr>
      <vt:lpstr>Modelo Financiero</vt:lpstr>
      <vt:lpstr>Modelo Final Resumido</vt:lpstr>
      <vt:lpstr>Modelo!Área_de_impresión</vt:lpstr>
      <vt:lpstr>'Modelo Detalle'!Área_de_impresión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Ramsés Hernández</dc:creator>
  <cp:keywords/>
  <dc:description/>
  <cp:lastModifiedBy>Ariel Rodriguez</cp:lastModifiedBy>
  <cp:revision/>
  <cp:lastPrinted>2024-08-31T18:03:29Z</cp:lastPrinted>
  <dcterms:created xsi:type="dcterms:W3CDTF">2024-07-29T16:37:15Z</dcterms:created>
  <dcterms:modified xsi:type="dcterms:W3CDTF">2025-11-07T21:49:23Z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a01e9287-b690-4ef9-95f3-772cdebea102</vt:lpwstr>
  </property>
</Properties>
</file>